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Git\1027\QA\"/>
    </mc:Choice>
  </mc:AlternateContent>
  <xr:revisionPtr revIDLastSave="0" documentId="13_ncr:1_{DC481B5C-0DB5-41B6-A772-DC6BEF6354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Case" sheetId="1" r:id="rId1"/>
    <sheet name="TC MAP" sheetId="2" r:id="rId2"/>
  </sheets>
  <definedNames>
    <definedName name="머릿글" localSheetId="0">TestCase!$B$1:$K$1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4" i="1" l="1"/>
  <c r="L45" i="1" s="1"/>
  <c r="L46" i="1" s="1"/>
  <c r="L47" i="1" s="1"/>
  <c r="L48" i="1" s="1"/>
  <c r="L49" i="1" s="1"/>
  <c r="A55" i="1" l="1"/>
  <c r="L16" i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A64" i="1" l="1"/>
  <c r="A63" i="1"/>
  <c r="A62" i="1"/>
  <c r="A61" i="1"/>
  <c r="A60" i="1"/>
  <c r="A59" i="1"/>
  <c r="A58" i="1"/>
  <c r="A57" i="1"/>
  <c r="A56" i="1"/>
  <c r="A42" i="1"/>
  <c r="A41" i="1"/>
  <c r="A40" i="1"/>
  <c r="A39" i="1"/>
  <c r="A38" i="1"/>
  <c r="A37" i="1"/>
  <c r="A36" i="1"/>
  <c r="A34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4" i="1"/>
  <c r="A13" i="1"/>
  <c r="A12" i="1"/>
  <c r="A11" i="1"/>
  <c r="A10" i="1"/>
  <c r="A9" i="1"/>
  <c r="A8" i="1"/>
  <c r="A7" i="1"/>
  <c r="A6" i="1"/>
  <c r="A5" i="1"/>
  <c r="A4" i="1"/>
  <c r="A3" i="1"/>
  <c r="L36" i="1" l="1"/>
  <c r="L37" i="1" s="1"/>
  <c r="L38" i="1" s="1"/>
  <c r="L39" i="1" s="1"/>
  <c r="A2" i="1"/>
  <c r="L8" i="1"/>
  <c r="L9" i="1" s="1"/>
  <c r="L10" i="1" s="1"/>
  <c r="L11" i="1" s="1"/>
  <c r="L12" i="1" s="1"/>
  <c r="L40" i="1" l="1"/>
  <c r="L52" i="1"/>
  <c r="L14" i="1"/>
  <c r="L13" i="1"/>
  <c r="L15" i="1" s="1"/>
  <c r="I3" i="2"/>
  <c r="L41" i="1" l="1"/>
  <c r="L42" i="1" l="1"/>
  <c r="G4" i="2"/>
  <c r="G5" i="2"/>
  <c r="G3" i="2"/>
  <c r="G6" i="2" l="1"/>
  <c r="F4" i="2"/>
  <c r="F5" i="2"/>
  <c r="F3" i="2"/>
  <c r="F6" i="2" l="1"/>
  <c r="H4" i="2"/>
  <c r="H5" i="2"/>
  <c r="H3" i="2"/>
  <c r="E4" i="2" l="1"/>
  <c r="E3" i="2"/>
  <c r="E5" i="2"/>
  <c r="H6" i="2"/>
  <c r="D5" i="2"/>
  <c r="D4" i="2"/>
  <c r="D3" i="2"/>
  <c r="B5" i="2"/>
  <c r="B3" i="2"/>
  <c r="B4" i="2"/>
  <c r="I5" i="2" l="1"/>
  <c r="J5" i="2" s="1"/>
  <c r="I4" i="2"/>
  <c r="J4" i="2" s="1"/>
  <c r="E6" i="2"/>
  <c r="D6" i="2"/>
  <c r="J3" i="2"/>
  <c r="B6" i="2"/>
  <c r="C3" i="2" s="1"/>
  <c r="I6" i="2" l="1"/>
  <c r="I7" i="2" s="1"/>
  <c r="H7" i="2"/>
  <c r="D7" i="2"/>
  <c r="E7" i="2"/>
  <c r="G7" i="2"/>
  <c r="F7" i="2"/>
  <c r="C5" i="2"/>
  <c r="C4" i="2"/>
  <c r="C6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돋움"/>
            <family val="3"/>
            <charset val="129"/>
          </rPr>
          <t>케이스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돋움"/>
            <family val="3"/>
            <charset val="129"/>
          </rPr>
          <t>번호</t>
        </r>
        <r>
          <rPr>
            <sz val="10"/>
            <color rgb="FF000000"/>
            <rFont val="Arial"/>
            <family val="2"/>
          </rPr>
          <t xml:space="preserve">, </t>
        </r>
        <r>
          <rPr>
            <sz val="10"/>
            <color rgb="FF000000"/>
            <rFont val="돋움"/>
            <family val="3"/>
            <charset val="129"/>
          </rPr>
          <t>카운트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돋움"/>
            <family val="3"/>
            <charset val="129"/>
          </rPr>
          <t>용도</t>
        </r>
      </text>
    </comment>
    <comment ref="B1" authorId="0" shapeId="0" xr:uid="{00000000-0006-0000-0000-000002000000}">
      <text>
        <r>
          <rPr>
            <sz val="10"/>
            <color rgb="FF000000"/>
            <rFont val="Arial"/>
            <family val="2"/>
          </rPr>
          <t>프로그램의 가장 큰단위로 나눌 수 있는 시스템 범주</t>
        </r>
      </text>
    </comment>
    <comment ref="C1" authorId="0" shapeId="0" xr:uid="{00000000-0006-0000-0000-000003000000}">
      <text>
        <r>
          <rPr>
            <sz val="10"/>
            <color rgb="FF000000"/>
            <rFont val="Arial"/>
            <family val="2"/>
          </rPr>
          <t>모듈의 집합을 알기 쉽도록 명칭</t>
        </r>
      </text>
    </comment>
    <comment ref="D1" authorId="0" shapeId="0" xr:uid="{00000000-0006-0000-0000-000004000000}">
      <text>
        <r>
          <rPr>
            <sz val="10"/>
            <color rgb="FF000000"/>
            <rFont val="Arial"/>
            <family val="2"/>
          </rPr>
          <t>모듈단위 분류</t>
        </r>
      </text>
    </comment>
    <comment ref="E1" authorId="0" shapeId="0" xr:uid="{00000000-0006-0000-0000-000005000000}">
      <text>
        <r>
          <rPr>
            <sz val="10"/>
            <color rgb="FF000000"/>
            <rFont val="Arial"/>
            <family val="2"/>
          </rPr>
          <t>사용자가 케이스의 내용을 빠르게 파악할 수 있도록 요약함</t>
        </r>
      </text>
    </comment>
    <comment ref="F1" authorId="0" shapeId="0" xr:uid="{00000000-0006-0000-0000-000006000000}">
      <text>
        <r>
          <rPr>
            <sz val="10"/>
            <color rgb="FF000000"/>
            <rFont val="돋움"/>
            <family val="3"/>
            <charset val="129"/>
          </rPr>
          <t>실행방법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돋움"/>
            <family val="3"/>
            <charset val="129"/>
          </rPr>
          <t>실행전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돋움"/>
            <family val="3"/>
            <charset val="129"/>
          </rPr>
          <t>충족되야하는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돋움"/>
            <family val="3"/>
            <charset val="129"/>
          </rPr>
          <t>조건</t>
        </r>
      </text>
    </comment>
    <comment ref="G1" authorId="0" shapeId="0" xr:uid="{00000000-0006-0000-0000-000007000000}">
      <text>
        <r>
          <rPr>
            <sz val="10"/>
            <color rgb="FF000000"/>
            <rFont val="Arial"/>
            <family val="2"/>
          </rPr>
          <t>해당 케이스의 직접적인 실행 순서를 작성</t>
        </r>
      </text>
    </comment>
    <comment ref="H1" authorId="0" shapeId="0" xr:uid="{00000000-0006-0000-0000-000008000000}">
      <text>
        <r>
          <rPr>
            <sz val="10"/>
            <color rgb="FF000000"/>
            <rFont val="Arial"/>
            <family val="2"/>
          </rPr>
          <t>실행 순서에 대해 기대되는 결과를 입력</t>
        </r>
      </text>
    </comment>
    <comment ref="J1" authorId="0" shapeId="0" xr:uid="{00000000-0006-0000-0000-000009000000}">
      <text>
        <r>
          <rPr>
            <sz val="10"/>
            <color rgb="FF000000"/>
            <rFont val="Arial"/>
            <family val="2"/>
          </rPr>
          <t>실제로 실행 순서를 실행한 결과를 입력</t>
        </r>
      </text>
    </comment>
  </commentList>
</comments>
</file>

<file path=xl/sharedStrings.xml><?xml version="1.0" encoding="utf-8"?>
<sst xmlns="http://schemas.openxmlformats.org/spreadsheetml/2006/main" count="223" uniqueCount="156">
  <si>
    <t>No</t>
  </si>
  <si>
    <t>대분류</t>
  </si>
  <si>
    <t>중분류</t>
  </si>
  <si>
    <t>소분류</t>
  </si>
  <si>
    <t>테스트 시나리오</t>
  </si>
  <si>
    <t>실행 순서</t>
  </si>
  <si>
    <t>Pass Result</t>
  </si>
  <si>
    <t>P/F</t>
  </si>
  <si>
    <t>실제 결과</t>
  </si>
  <si>
    <t>비고</t>
  </si>
  <si>
    <t>Tag</t>
  </si>
  <si>
    <t>게임실행</t>
  </si>
  <si>
    <t>실행</t>
  </si>
  <si>
    <t>Pass</t>
  </si>
  <si>
    <t>윈도우기능</t>
  </si>
  <si>
    <t>Fail</t>
  </si>
  <si>
    <t>Block</t>
  </si>
  <si>
    <t>N/A</t>
  </si>
  <si>
    <t>N/T</t>
  </si>
  <si>
    <t>메뉴기능</t>
  </si>
  <si>
    <t>인게임기능</t>
  </si>
  <si>
    <t>분류</t>
  </si>
  <si>
    <t>개수</t>
  </si>
  <si>
    <t>비율</t>
  </si>
  <si>
    <t>Total</t>
  </si>
  <si>
    <t>Total(%)</t>
  </si>
  <si>
    <t>테스트케이스 현황</t>
    <phoneticPr fontId="7" type="noConversion"/>
  </si>
  <si>
    <r>
      <rPr>
        <b/>
        <sz val="9"/>
        <rFont val="맑은 고딕"/>
        <family val="3"/>
        <charset val="129"/>
      </rPr>
      <t>테스트</t>
    </r>
    <r>
      <rPr>
        <b/>
        <sz val="9"/>
        <rFont val="Verdana"/>
        <family val="2"/>
      </rPr>
      <t xml:space="preserve"> </t>
    </r>
    <r>
      <rPr>
        <b/>
        <sz val="9"/>
        <rFont val="맑은 고딕"/>
        <family val="3"/>
        <charset val="129"/>
      </rPr>
      <t>조건</t>
    </r>
    <phoneticPr fontId="7" type="noConversion"/>
  </si>
  <si>
    <t>게임실행</t>
    <phoneticPr fontId="7" type="noConversion"/>
  </si>
  <si>
    <t>상점 시스템</t>
    <phoneticPr fontId="7" type="noConversion"/>
  </si>
  <si>
    <t>게임 기능</t>
    <phoneticPr fontId="7" type="noConversion"/>
  </si>
  <si>
    <r>
      <rPr>
        <sz val="9"/>
        <rFont val="Arial Unicode MS"/>
        <family val="2"/>
        <charset val="129"/>
      </rPr>
      <t xml:space="preserve">상점 </t>
    </r>
    <r>
      <rPr>
        <sz val="9"/>
        <rFont val="Verdana"/>
        <family val="2"/>
      </rPr>
      <t>NPC</t>
    </r>
    <r>
      <rPr>
        <sz val="9"/>
        <rFont val="Arial Unicode MS"/>
        <family val="2"/>
        <charset val="129"/>
      </rPr>
      <t>와 대화한다</t>
    </r>
    <phoneticPr fontId="7" type="noConversion"/>
  </si>
  <si>
    <t>상점에서 아이템 구매 확인창이 뜨는지 확인한다</t>
    <phoneticPr fontId="7" type="noConversion"/>
  </si>
  <si>
    <r>
      <rPr>
        <sz val="9"/>
        <rFont val="Arial Unicode MS"/>
        <family val="2"/>
        <charset val="129"/>
      </rPr>
      <t xml:space="preserve">상점  </t>
    </r>
    <r>
      <rPr>
        <sz val="9"/>
        <rFont val="Verdana"/>
        <family val="2"/>
      </rPr>
      <t>UI</t>
    </r>
    <r>
      <rPr>
        <sz val="9"/>
        <rFont val="Arial Unicode MS"/>
        <family val="2"/>
        <charset val="129"/>
      </rPr>
      <t xml:space="preserve">  및 아이템 리스트가 화면에 출럭된다</t>
    </r>
    <phoneticPr fontId="7" type="noConversion"/>
  </si>
  <si>
    <t>아이템 구매 확인창에서 "네"를 선택한다</t>
    <phoneticPr fontId="7" type="noConversion"/>
  </si>
  <si>
    <t>아이템 구매 확인창에서 "아니오"를  선택한다</t>
    <phoneticPr fontId="7" type="noConversion"/>
  </si>
  <si>
    <t>1. 아이템이 구매되지 않는다
2. 아이템 구매 확인창이 닫히고 상점 UI로 돌아간다</t>
    <phoneticPr fontId="7" type="noConversion"/>
  </si>
  <si>
    <r>
      <rPr>
        <sz val="9"/>
        <rFont val="Arial Unicode MS"/>
        <family val="2"/>
        <charset val="129"/>
      </rPr>
      <t xml:space="preserve">상점 </t>
    </r>
    <r>
      <rPr>
        <sz val="9"/>
        <rFont val="Verdana"/>
        <family val="2"/>
      </rPr>
      <t>UI</t>
    </r>
    <r>
      <rPr>
        <sz val="9"/>
        <rFont val="Arial Unicode MS"/>
        <family val="2"/>
        <charset val="129"/>
      </rPr>
      <t>가 닫히는지 확인한다</t>
    </r>
    <phoneticPr fontId="7" type="noConversion"/>
  </si>
  <si>
    <r>
      <rPr>
        <sz val="9"/>
        <rFont val="Arial Unicode MS"/>
        <family val="2"/>
        <charset val="129"/>
      </rPr>
      <t>상점</t>
    </r>
    <r>
      <rPr>
        <sz val="9"/>
        <rFont val="Verdana"/>
        <family val="2"/>
      </rPr>
      <t xml:space="preserve"> UI</t>
    </r>
    <r>
      <rPr>
        <sz val="9"/>
        <rFont val="Arial Unicode MS"/>
        <family val="2"/>
        <charset val="129"/>
      </rPr>
      <t>가 닫히고 기존 화면으로 돌아간다</t>
    </r>
    <phoneticPr fontId="7" type="noConversion"/>
  </si>
  <si>
    <t>플레이어의 이동이 제한된다</t>
    <phoneticPr fontId="7" type="noConversion"/>
  </si>
  <si>
    <r>
      <rPr>
        <sz val="9"/>
        <rFont val="Arial Unicode MS"/>
        <family val="2"/>
        <charset val="129"/>
      </rPr>
      <t xml:space="preserve">상점 </t>
    </r>
    <r>
      <rPr>
        <sz val="9"/>
        <rFont val="Verdana"/>
        <family val="2"/>
      </rPr>
      <t>UI</t>
    </r>
    <r>
      <rPr>
        <sz val="9"/>
        <rFont val="Arial Unicode MS"/>
        <family val="2"/>
        <charset val="129"/>
      </rPr>
      <t>를 닫은 후 플레이어 이동</t>
    </r>
    <r>
      <rPr>
        <sz val="9"/>
        <rFont val="Verdana"/>
        <family val="2"/>
        <charset val="129"/>
      </rPr>
      <t xml:space="preserve"> </t>
    </r>
    <r>
      <rPr>
        <sz val="9"/>
        <rFont val="Arial Unicode MS"/>
        <family val="2"/>
        <charset val="129"/>
      </rPr>
      <t>제한이 해제된다</t>
    </r>
    <phoneticPr fontId="7" type="noConversion"/>
  </si>
  <si>
    <r>
      <rPr>
        <sz val="9"/>
        <rFont val="Arial Unicode MS"/>
        <family val="2"/>
        <charset val="129"/>
      </rPr>
      <t xml:space="preserve">상점 </t>
    </r>
    <r>
      <rPr>
        <sz val="9"/>
        <rFont val="Verdana"/>
        <family val="2"/>
      </rPr>
      <t>UI</t>
    </r>
    <r>
      <rPr>
        <sz val="9"/>
        <rFont val="Arial Unicode MS"/>
        <family val="2"/>
        <charset val="129"/>
      </rPr>
      <t>가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표시되는 동안 플레이어 이동이 제한된다</t>
    </r>
    <phoneticPr fontId="7" type="noConversion"/>
  </si>
  <si>
    <t>플레이어의 이동 제한이 해제된다</t>
    <phoneticPr fontId="7" type="noConversion"/>
  </si>
  <si>
    <t>아이템 구매 시 재화가 차감된다</t>
    <phoneticPr fontId="7" type="noConversion"/>
  </si>
  <si>
    <t>아이템의 가격에 따라 해당 가격만큼 재화가 차감된다</t>
    <phoneticPr fontId="7" type="noConversion"/>
  </si>
  <si>
    <t>1. 아이템이 구매된다
2. 아이템 구매 확인창이 닫히고 상점 UI로 돌아간다</t>
    <phoneticPr fontId="7" type="noConversion"/>
  </si>
  <si>
    <t>아이템 구매 후 인벤토리에 아이템이 추가된다</t>
    <phoneticPr fontId="7" type="noConversion"/>
  </si>
  <si>
    <t>인벤토리 시스템</t>
    <phoneticPr fontId="7" type="noConversion"/>
  </si>
  <si>
    <t>인벤토리 창을 활성화 한다</t>
    <phoneticPr fontId="7" type="noConversion"/>
  </si>
  <si>
    <r>
      <rPr>
        <sz val="9"/>
        <rFont val="Arial Unicode MS"/>
        <family val="2"/>
        <charset val="129"/>
      </rPr>
      <t xml:space="preserve">인벤토리 </t>
    </r>
    <r>
      <rPr>
        <sz val="9"/>
        <rFont val="Verdana"/>
        <family val="2"/>
      </rPr>
      <t>UI</t>
    </r>
    <r>
      <rPr>
        <sz val="9"/>
        <rFont val="Arial Unicode MS"/>
        <family val="2"/>
        <charset val="129"/>
      </rPr>
      <t>가 출력된다</t>
    </r>
    <phoneticPr fontId="7" type="noConversion"/>
  </si>
  <si>
    <r>
      <rPr>
        <sz val="9"/>
        <rFont val="Arial Unicode MS"/>
        <family val="2"/>
        <charset val="129"/>
      </rPr>
      <t>인벤토리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창을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비활성화 한다</t>
    </r>
    <phoneticPr fontId="7" type="noConversion"/>
  </si>
  <si>
    <r>
      <rPr>
        <sz val="9"/>
        <rFont val="Arial Unicode MS"/>
        <family val="2"/>
        <charset val="129"/>
      </rPr>
      <t>인벤토리</t>
    </r>
    <r>
      <rPr>
        <sz val="9"/>
        <rFont val="Verdana"/>
        <family val="2"/>
      </rPr>
      <t xml:space="preserve"> UI</t>
    </r>
    <r>
      <rPr>
        <sz val="9"/>
        <rFont val="Arial Unicode MS"/>
        <family val="2"/>
        <charset val="129"/>
      </rPr>
      <t>가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비활성화 된다</t>
    </r>
    <phoneticPr fontId="7" type="noConversion"/>
  </si>
  <si>
    <r>
      <rPr>
        <sz val="9"/>
        <rFont val="Arial Unicode MS"/>
        <family val="2"/>
        <charset val="129"/>
      </rPr>
      <t xml:space="preserve">인벤토리 </t>
    </r>
    <r>
      <rPr>
        <sz val="9"/>
        <rFont val="Verdana"/>
        <family val="2"/>
      </rPr>
      <t>UI</t>
    </r>
    <r>
      <rPr>
        <sz val="9"/>
        <rFont val="Arial Unicode MS"/>
        <family val="2"/>
        <charset val="129"/>
      </rPr>
      <t>가 출력되는 중 플레이어가 이동가능 여부를 확인한다</t>
    </r>
    <phoneticPr fontId="7" type="noConversion"/>
  </si>
  <si>
    <t>구매한 아이템이 인벤토리에 추가된다</t>
    <phoneticPr fontId="7" type="noConversion"/>
  </si>
  <si>
    <t>일반 NPC에게 아이템을 사용 후 해당 아이템이 인벤토리 창에서 차감되는지 확인한다</t>
    <phoneticPr fontId="7" type="noConversion"/>
  </si>
  <si>
    <r>
      <t xml:space="preserve"> "{</t>
    </r>
    <r>
      <rPr>
        <sz val="9"/>
        <rFont val="Arial Unicode MS"/>
        <family val="2"/>
        <charset val="129"/>
      </rPr>
      <t>아이템이름</t>
    </r>
    <r>
      <rPr>
        <sz val="9"/>
        <rFont val="Verdana"/>
        <family val="2"/>
      </rPr>
      <t xml:space="preserve">} </t>
    </r>
    <r>
      <rPr>
        <sz val="9"/>
        <rFont val="Arial Unicode MS"/>
        <family val="2"/>
        <charset val="129"/>
      </rPr>
      <t>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구매하시겠습니까</t>
    </r>
    <r>
      <rPr>
        <sz val="9"/>
        <rFont val="Verdana"/>
        <family val="2"/>
      </rPr>
      <t xml:space="preserve">?" </t>
    </r>
    <r>
      <rPr>
        <sz val="9"/>
        <rFont val="Arial Unicode MS"/>
        <family val="2"/>
        <charset val="129"/>
      </rPr>
      <t>텍스트와 "네 / 아니오" 버튼이 화면에 출력된다</t>
    </r>
    <phoneticPr fontId="7" type="noConversion"/>
  </si>
  <si>
    <t>플레이어의 모든 이동이 활성화 되어 있다</t>
    <phoneticPr fontId="7" type="noConversion"/>
  </si>
  <si>
    <t>아이템 사용 후 인벤토리에서 해당 아이템이 차감된다</t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</si>
  <si>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상점</t>
    </r>
    <r>
      <rPr>
        <sz val="9"/>
        <rFont val="Verdana"/>
        <family val="2"/>
      </rPr>
      <t xml:space="preserve"> NPC</t>
    </r>
    <r>
      <rPr>
        <sz val="9"/>
        <rFont val="Arial Unicode MS"/>
        <family val="2"/>
        <charset val="129"/>
      </rPr>
      <t>의 앞에서 "</t>
    </r>
    <r>
      <rPr>
        <sz val="9"/>
        <rFont val="Verdana"/>
        <family val="2"/>
      </rPr>
      <t>E"</t>
    </r>
    <r>
      <rPr>
        <sz val="9"/>
        <rFont val="Arial Unicode MS"/>
        <family val="2"/>
        <charset val="129"/>
      </rPr>
      <t xml:space="preserve">키를 눌러 상점 </t>
    </r>
    <r>
      <rPr>
        <sz val="9"/>
        <rFont val="Verdana"/>
        <family val="2"/>
      </rPr>
      <t>NPC</t>
    </r>
    <r>
      <rPr>
        <sz val="9"/>
        <rFont val="Arial Unicode MS"/>
        <family val="2"/>
        <charset val="129"/>
      </rPr>
      <t>와 대화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</si>
  <si>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 xml:space="preserve">상점 </t>
    </r>
    <r>
      <rPr>
        <sz val="9"/>
        <rFont val="Verdana"/>
        <family val="2"/>
      </rPr>
      <t>UI</t>
    </r>
    <r>
      <rPr>
        <sz val="9"/>
        <rFont val="Arial Unicode MS"/>
        <family val="2"/>
        <charset val="129"/>
      </rPr>
      <t xml:space="preserve">가 화면에 출력되는 상태에서 </t>
    </r>
    <r>
      <rPr>
        <sz val="9"/>
        <rFont val="Verdana"/>
        <family val="2"/>
      </rPr>
      <t>Escape</t>
    </r>
    <r>
      <rPr>
        <sz val="9"/>
        <rFont val="Arial Unicode MS"/>
        <family val="2"/>
        <charset val="129"/>
      </rPr>
      <t>키 입력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</si>
  <si>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 xml:space="preserve">상점 </t>
    </r>
    <r>
      <rPr>
        <sz val="9"/>
        <rFont val="Verdana"/>
        <family val="2"/>
      </rPr>
      <t>UI</t>
    </r>
    <r>
      <rPr>
        <sz val="9"/>
        <rFont val="Arial Unicode MS"/>
        <family val="2"/>
        <charset val="129"/>
      </rPr>
      <t>가 출력된 상태에서 플레이어가 이동을 시도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</si>
  <si>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 xml:space="preserve">상점 </t>
    </r>
    <r>
      <rPr>
        <sz val="9"/>
        <rFont val="Verdana"/>
        <family val="2"/>
      </rPr>
      <t>UI</t>
    </r>
    <r>
      <rPr>
        <sz val="9"/>
        <rFont val="Arial Unicode MS"/>
        <family val="2"/>
        <charset val="129"/>
      </rPr>
      <t>가 출력된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상태에서</t>
    </r>
    <r>
      <rPr>
        <sz val="9"/>
        <rFont val="Verdana"/>
        <family val="2"/>
      </rPr>
      <t xml:space="preserve"> Escape</t>
    </r>
    <r>
      <rPr>
        <sz val="9"/>
        <rFont val="Arial Unicode MS"/>
        <family val="2"/>
        <charset val="129"/>
      </rPr>
      <t>키 입력
2.  플레이어가 이동을 시도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</si>
  <si>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상점의 아이템 리스트에서 아이템 클릭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</si>
  <si>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상점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아이템 구매 확인창에서 "네" 버튼 클릭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</si>
  <si>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상점 아이템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구매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확인창에서</t>
    </r>
    <r>
      <rPr>
        <sz val="9"/>
        <rFont val="Verdana"/>
        <family val="2"/>
      </rPr>
      <t xml:space="preserve"> "</t>
    </r>
    <r>
      <rPr>
        <sz val="9"/>
        <rFont val="Arial Unicode MS"/>
        <family val="2"/>
        <charset val="129"/>
      </rPr>
      <t>아니오" 버튼 클릭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</si>
  <si>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상점에서 아이템을 구매
2.  구매한 값 만큼의 재화가 차감되는지 확인</t>
    </r>
    <phoneticPr fontId="7" type="noConversion"/>
  </si>
  <si>
    <r>
      <t>1. B</t>
    </r>
    <r>
      <rPr>
        <sz val="9"/>
        <rFont val="Arial Unicode MS"/>
        <family val="2"/>
        <charset val="129"/>
      </rPr>
      <t>키를 눌러 인벤토리 창을 활성화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</si>
  <si>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 xml:space="preserve">인벤토리 </t>
    </r>
    <r>
      <rPr>
        <sz val="9"/>
        <rFont val="Verdana"/>
        <family val="2"/>
      </rPr>
      <t>UI</t>
    </r>
    <r>
      <rPr>
        <sz val="9"/>
        <rFont val="Arial Unicode MS"/>
        <family val="2"/>
        <charset val="129"/>
      </rPr>
      <t xml:space="preserve">가 출력된 상태에서 </t>
    </r>
    <r>
      <rPr>
        <sz val="9"/>
        <rFont val="Verdana"/>
        <family val="2"/>
      </rPr>
      <t>Escape</t>
    </r>
    <r>
      <rPr>
        <sz val="9"/>
        <rFont val="Arial Unicode MS"/>
        <family val="2"/>
        <charset val="129"/>
      </rPr>
      <t>키 입력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</si>
  <si>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인벤토리 UI가 출력된 상태에서 플레이어가 이동을 시도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</si>
  <si>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상점에서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아이템을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구매</t>
    </r>
    <r>
      <rPr>
        <sz val="9"/>
        <rFont val="Verdana"/>
        <family val="2"/>
      </rPr>
      <t xml:space="preserve">
</t>
    </r>
    <r>
      <rPr>
        <sz val="9"/>
        <rFont val="Arial Unicode MS"/>
        <family val="2"/>
        <charset val="129"/>
      </rPr>
      <t>2</t>
    </r>
    <r>
      <rPr>
        <sz val="9"/>
        <rFont val="Verdana"/>
        <family val="2"/>
      </rPr>
      <t xml:space="preserve">. </t>
    </r>
    <r>
      <rPr>
        <sz val="9"/>
        <rFont val="Arial Unicode MS"/>
        <family val="2"/>
        <charset val="129"/>
      </rPr>
      <t>인벤토리를 열어 구매한 아이템이 인벤토리에 추가 여부를 확인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</si>
  <si>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 xml:space="preserve">아이템을 소지한 채로 일반 </t>
    </r>
    <r>
      <rPr>
        <sz val="9"/>
        <rFont val="Verdana"/>
        <family val="2"/>
      </rPr>
      <t>NPC</t>
    </r>
    <r>
      <rPr>
        <sz val="9"/>
        <rFont val="Arial Unicode MS"/>
        <family val="2"/>
        <charset val="129"/>
      </rPr>
      <t>와 대화
2.  대화를 마친 후 인벤토리 창을 열고 아이템의 차감 여부를 확인</t>
    </r>
    <phoneticPr fontId="7" type="noConversion"/>
  </si>
  <si>
    <t>멀티 시스템</t>
    <phoneticPr fontId="7" type="noConversion"/>
  </si>
  <si>
    <t>게임 시작 버튼을 누른다</t>
    <phoneticPr fontId="7" type="noConversion"/>
  </si>
  <si>
    <t>설정 버튼을 누른다</t>
    <phoneticPr fontId="7" type="noConversion"/>
  </si>
  <si>
    <t>게임 종료 버튼을 누른다</t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</si>
  <si>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게임  시작 버튼을 클릭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</si>
  <si>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설정 버튼을 클릭</t>
    </r>
    <phoneticPr fontId="7" type="noConversion"/>
  </si>
  <si>
    <t>1. 게임 종료 버튼을 클릭</t>
    <phoneticPr fontId="7" type="noConversion"/>
  </si>
  <si>
    <r>
      <rPr>
        <sz val="9"/>
        <rFont val="Arial Unicode MS"/>
        <family val="2"/>
        <charset val="129"/>
      </rPr>
      <t xml:space="preserve">방 생성 </t>
    </r>
    <r>
      <rPr>
        <sz val="9"/>
        <rFont val="Verdana"/>
        <family val="2"/>
      </rPr>
      <t>Scene</t>
    </r>
    <r>
      <rPr>
        <sz val="9"/>
        <rFont val="Arial Unicode MS"/>
        <family val="2"/>
        <charset val="129"/>
      </rPr>
      <t>으로 넘어간다</t>
    </r>
    <phoneticPr fontId="7" type="noConversion"/>
  </si>
  <si>
    <r>
      <rPr>
        <sz val="9"/>
        <rFont val="Arial Unicode MS"/>
        <family val="2"/>
        <charset val="129"/>
      </rPr>
      <t xml:space="preserve">설정 </t>
    </r>
    <r>
      <rPr>
        <sz val="9"/>
        <rFont val="Verdana"/>
        <family val="2"/>
      </rPr>
      <t>UI</t>
    </r>
    <r>
      <rPr>
        <sz val="9"/>
        <rFont val="Arial Unicode MS"/>
        <family val="2"/>
        <charset val="129"/>
      </rPr>
      <t>가 표시된다</t>
    </r>
    <phoneticPr fontId="7" type="noConversion"/>
  </si>
  <si>
    <t>게임이 종료된다</t>
    <phoneticPr fontId="7" type="noConversion"/>
  </si>
  <si>
    <t>소리</t>
    <phoneticPr fontId="7" type="noConversion"/>
  </si>
  <si>
    <r>
      <t>Exit</t>
    </r>
    <r>
      <rPr>
        <sz val="9"/>
        <rFont val="Arial Unicode MS"/>
        <family val="2"/>
        <charset val="129"/>
      </rPr>
      <t>를 누른다</t>
    </r>
    <phoneticPr fontId="7" type="noConversion"/>
  </si>
  <si>
    <t>사운드 볼륨을 조절한다</t>
    <phoneticPr fontId="7" type="noConversion"/>
  </si>
  <si>
    <t>볼룸이 커지거나 작아진다</t>
    <phoneticPr fontId="7" type="noConversion"/>
  </si>
  <si>
    <r>
      <t xml:space="preserve">1. Exit </t>
    </r>
    <r>
      <rPr>
        <sz val="9"/>
        <rFont val="Arial Unicode MS"/>
        <family val="2"/>
        <charset val="129"/>
      </rPr>
      <t>버튼을 클릭한다</t>
    </r>
    <phoneticPr fontId="7" type="noConversion"/>
  </si>
  <si>
    <t>설정 UI가 닫힌다</t>
    <phoneticPr fontId="7" type="noConversion"/>
  </si>
  <si>
    <t>볼륨을 올린다</t>
    <phoneticPr fontId="7" type="noConversion"/>
  </si>
  <si>
    <r>
      <rPr>
        <sz val="9"/>
        <rFont val="Arial Unicode MS"/>
        <family val="2"/>
        <charset val="129"/>
      </rPr>
      <t>볼륨을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내린다</t>
    </r>
    <phoneticPr fontId="7" type="noConversion"/>
  </si>
  <si>
    <t>볼륨이 커진다</t>
    <phoneticPr fontId="7" type="noConversion"/>
  </si>
  <si>
    <t>볼륨이 작아진다</t>
    <phoneticPr fontId="7" type="noConversion"/>
  </si>
  <si>
    <t>플레이어 이름을 입력한다</t>
    <phoneticPr fontId="7" type="noConversion"/>
  </si>
  <si>
    <t>방 이름을 입력한다</t>
    <phoneticPr fontId="7" type="noConversion"/>
  </si>
  <si>
    <t>플레이어 이름이 입력된다</t>
    <phoneticPr fontId="7" type="noConversion"/>
  </si>
  <si>
    <t>방 이름이 입력된다</t>
    <phoneticPr fontId="7" type="noConversion"/>
  </si>
  <si>
    <t>방을 생성한다</t>
    <phoneticPr fontId="7" type="noConversion"/>
  </si>
  <si>
    <t>생성된 방에 참가한다</t>
    <phoneticPr fontId="7" type="noConversion"/>
  </si>
  <si>
    <r>
      <rPr>
        <sz val="9"/>
        <rFont val="Verdana"/>
        <family val="2"/>
      </rPr>
      <t>LobbyScene</t>
    </r>
    <r>
      <rPr>
        <sz val="9"/>
        <rFont val="Arial Unicode MS"/>
        <family val="2"/>
        <charset val="129"/>
      </rPr>
      <t>에서 실행</t>
    </r>
    <phoneticPr fontId="7" type="noConversion"/>
  </si>
  <si>
    <r>
      <t>GameScene</t>
    </r>
    <r>
      <rPr>
        <sz val="9"/>
        <rFont val="Arial Unicode MS"/>
        <family val="2"/>
        <charset val="129"/>
      </rPr>
      <t>에서  실행</t>
    </r>
    <phoneticPr fontId="7" type="noConversion"/>
  </si>
  <si>
    <r>
      <t>MainScene</t>
    </r>
    <r>
      <rPr>
        <sz val="9"/>
        <rFont val="Arial Unicode MS"/>
        <family val="2"/>
        <charset val="129"/>
      </rPr>
      <t>에서 실행</t>
    </r>
    <phoneticPr fontId="7" type="noConversion"/>
  </si>
  <si>
    <r>
      <t>MainScene</t>
    </r>
    <r>
      <rPr>
        <sz val="9"/>
        <rFont val="Arial Unicode MS"/>
        <family val="2"/>
        <charset val="129"/>
      </rPr>
      <t>에서 실행 / 설정 UI에서 실행</t>
    </r>
    <phoneticPr fontId="7" type="noConversion"/>
  </si>
  <si>
    <t>게임을 시작한다</t>
    <phoneticPr fontId="7" type="noConversion"/>
  </si>
  <si>
    <t>플레이어 이름을 입력하지 않고 방을 생성 / 참가 한다</t>
    <phoneticPr fontId="7" type="noConversion"/>
  </si>
  <si>
    <t>방 이름을 입력하지 않고 방을 생성 / 참가 한다</t>
    <phoneticPr fontId="7" type="noConversion"/>
  </si>
  <si>
    <t>생성된 방에 참가되고 해당 방의 플레이어 리스트가 표시된다</t>
    <phoneticPr fontId="7" type="noConversion"/>
  </si>
  <si>
    <t>방 이름에 맞게 방이 생성되고 해당 방의 플레이어 리스트가 표시된다</t>
    <phoneticPr fontId="7" type="noConversion"/>
  </si>
  <si>
    <t>해당 방에 참가한 플레이어들이 GameScene으로 진입한다</t>
    <phoneticPr fontId="7" type="noConversion"/>
  </si>
  <si>
    <t>플레이어 이름이  랜덤으로 설정되고 방이 생성된다</t>
    <phoneticPr fontId="7" type="noConversion"/>
  </si>
  <si>
    <t>방이 생성되지 않는다</t>
    <phoneticPr fontId="7" type="noConversion"/>
  </si>
  <si>
    <t>PASS</t>
    <phoneticPr fontId="7" type="noConversion"/>
  </si>
  <si>
    <t>Fail</t>
    <phoneticPr fontId="7" type="noConversion"/>
  </si>
  <si>
    <r>
      <rPr>
        <sz val="9"/>
        <rFont val="Arial Unicode MS"/>
        <family val="2"/>
        <charset val="129"/>
      </rPr>
      <t xml:space="preserve">각 </t>
    </r>
    <r>
      <rPr>
        <sz val="9"/>
        <rFont val="Verdana"/>
        <family val="2"/>
      </rPr>
      <t xml:space="preserve">Scene </t>
    </r>
    <r>
      <rPr>
        <sz val="9"/>
        <rFont val="Arial Unicode MS"/>
        <family val="2"/>
        <charset val="129"/>
      </rPr>
      <t>별로 사운드가 동일하게 조절되는지 확인한다</t>
    </r>
    <phoneticPr fontId="7" type="noConversion"/>
  </si>
  <si>
    <t>MainScene, GameScene에서 실행</t>
    <phoneticPr fontId="7" type="noConversion"/>
  </si>
  <si>
    <r>
      <t xml:space="preserve">BTL </t>
    </r>
    <r>
      <rPr>
        <sz val="9"/>
        <rFont val="Arial Unicode MS"/>
        <family val="2"/>
        <charset val="129"/>
      </rPr>
      <t>참고</t>
    </r>
    <phoneticPr fontId="7" type="noConversion"/>
  </si>
  <si>
    <r>
      <rPr>
        <sz val="9"/>
        <rFont val="Arial Unicode MS"/>
        <family val="2"/>
        <charset val="129"/>
      </rPr>
      <t xml:space="preserve">인게임 </t>
    </r>
    <r>
      <rPr>
        <sz val="9"/>
        <rFont val="Arial"/>
        <family val="2"/>
      </rPr>
      <t>UI</t>
    </r>
    <phoneticPr fontId="7" type="noConversion"/>
  </si>
  <si>
    <t>모든 텍스트에서 한글 폰트가 정상적으로 나오는지
확인한다</t>
    <phoneticPr fontId="7" type="noConversion"/>
  </si>
  <si>
    <r>
      <rPr>
        <sz val="9"/>
        <rFont val="Verdana"/>
        <family val="2"/>
      </rPr>
      <t>GameScene</t>
    </r>
    <r>
      <rPr>
        <sz val="9"/>
        <rFont val="Arial Unicode MS"/>
        <family val="2"/>
        <charset val="129"/>
      </rPr>
      <t>에서</t>
    </r>
    <r>
      <rPr>
        <sz val="9"/>
        <rFont val="Verdana"/>
        <family val="2"/>
      </rPr>
      <t xml:space="preserve">  </t>
    </r>
    <r>
      <rPr>
        <sz val="9"/>
        <rFont val="Arial Unicode MS"/>
        <family val="2"/>
        <charset val="129"/>
      </rPr>
      <t>실행</t>
    </r>
    <phoneticPr fontId="7" type="noConversion"/>
  </si>
  <si>
    <t>폰트가 모두 정상적으로 출력된다</t>
    <phoneticPr fontId="7" type="noConversion"/>
  </si>
  <si>
    <r>
      <t xml:space="preserve">BTL </t>
    </r>
    <r>
      <rPr>
        <sz val="9"/>
        <rFont val="돋움"/>
        <family val="2"/>
        <charset val="129"/>
      </rPr>
      <t>참고</t>
    </r>
    <phoneticPr fontId="7" type="noConversion"/>
  </si>
  <si>
    <t>플레이어 이동 관련</t>
    <phoneticPr fontId="7" type="noConversion"/>
  </si>
  <si>
    <t>게임메뉴</t>
    <phoneticPr fontId="7" type="noConversion"/>
  </si>
  <si>
    <t>UI</t>
    <phoneticPr fontId="7" type="noConversion"/>
  </si>
  <si>
    <t>두 Scene에서 동일한 값의 사운드가 출력된다</t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</si>
  <si>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방 이름 칸을 비워두고 플레이어 이름만 입력
2.  해당 방을 생성 / 참가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</si>
  <si>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플레이어 이름 칸을 비워두고 방 이름만 입력
2.  해당 방을 생성 / 참가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</si>
  <si>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 xml:space="preserve">플레이어 </t>
    </r>
    <r>
      <rPr>
        <sz val="9"/>
        <rFont val="Verdana"/>
        <family val="2"/>
      </rPr>
      <t>A</t>
    </r>
    <r>
      <rPr>
        <sz val="9"/>
        <rFont val="Arial Unicode MS"/>
        <family val="2"/>
        <charset val="129"/>
      </rPr>
      <t xml:space="preserve">가 이름 및 방 이름을 입력
2.  </t>
    </r>
    <r>
      <rPr>
        <sz val="9"/>
        <rFont val="Verdana"/>
        <family val="2"/>
      </rPr>
      <t>Create Room</t>
    </r>
    <r>
      <rPr>
        <sz val="9"/>
        <rFont val="Arial Unicode MS"/>
        <family val="2"/>
        <charset val="129"/>
      </rPr>
      <t>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 xml:space="preserve">클릭
3.  플레이어 </t>
    </r>
    <r>
      <rPr>
        <sz val="9"/>
        <rFont val="Verdana"/>
        <family val="2"/>
      </rPr>
      <t>B</t>
    </r>
    <r>
      <rPr>
        <sz val="9"/>
        <rFont val="Arial Unicode MS"/>
        <family val="2"/>
        <charset val="129"/>
      </rPr>
      <t xml:space="preserve">가 이름 및 방 이름을 입력
4.  </t>
    </r>
    <r>
      <rPr>
        <sz val="9"/>
        <rFont val="Verdana"/>
        <family val="2"/>
      </rPr>
      <t>Join Room</t>
    </r>
    <r>
      <rPr>
        <sz val="9"/>
        <rFont val="Arial Unicode MS"/>
        <family val="2"/>
        <charset val="129"/>
      </rPr>
      <t xml:space="preserve">을 클릭
5.  플레이어 </t>
    </r>
    <r>
      <rPr>
        <sz val="9"/>
        <rFont val="Verdana"/>
        <family val="2"/>
      </rPr>
      <t>A</t>
    </r>
    <r>
      <rPr>
        <sz val="9"/>
        <rFont val="Arial Unicode MS"/>
        <family val="2"/>
        <charset val="129"/>
      </rPr>
      <t xml:space="preserve">가 </t>
    </r>
    <r>
      <rPr>
        <sz val="9"/>
        <rFont val="Verdana"/>
        <family val="2"/>
      </rPr>
      <t>Game Start</t>
    </r>
    <r>
      <rPr>
        <sz val="9"/>
        <rFont val="Arial Unicode MS"/>
        <family val="2"/>
        <charset val="129"/>
      </rPr>
      <t>를 클릭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</si>
  <si>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플레이어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이름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및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방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이름을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입력</t>
    </r>
    <r>
      <rPr>
        <sz val="9"/>
        <rFont val="Verdana"/>
        <family val="2"/>
      </rPr>
      <t xml:space="preserve">
2. Join Room</t>
    </r>
    <r>
      <rPr>
        <sz val="9"/>
        <rFont val="Arial Unicode MS"/>
        <family val="2"/>
        <charset val="129"/>
      </rPr>
      <t>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클릭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</si>
  <si>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 xml:space="preserve">플레이어 이름 및 방 이름을 입력
2.  </t>
    </r>
    <r>
      <rPr>
        <sz val="9"/>
        <rFont val="Verdana"/>
        <family val="2"/>
      </rPr>
      <t>Create Room</t>
    </r>
    <r>
      <rPr>
        <sz val="9"/>
        <rFont val="Arial Unicode MS"/>
        <family val="2"/>
        <charset val="129"/>
      </rPr>
      <t>을 클릭</t>
    </r>
    <phoneticPr fontId="7" type="noConversion"/>
  </si>
  <si>
    <r>
      <t xml:space="preserve">1. Room Name </t>
    </r>
    <r>
      <rPr>
        <sz val="9"/>
        <rFont val="Arial Unicode MS"/>
        <family val="2"/>
        <charset val="129"/>
      </rPr>
      <t>칸에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숫자 혹은 문자를 입력</t>
    </r>
    <phoneticPr fontId="7" type="noConversion"/>
  </si>
  <si>
    <r>
      <t xml:space="preserve">1. Player Name </t>
    </r>
    <r>
      <rPr>
        <sz val="9"/>
        <rFont val="Arial Unicode MS"/>
        <family val="2"/>
        <charset val="129"/>
      </rPr>
      <t>칸에 숫자 혹은 문자를 입력</t>
    </r>
    <phoneticPr fontId="7" type="noConversion"/>
  </si>
  <si>
    <r>
      <t>1. NPC</t>
    </r>
    <r>
      <rPr>
        <sz val="9"/>
        <rFont val="Arial Unicode MS"/>
        <family val="2"/>
        <charset val="129"/>
      </rPr>
      <t>와 대화를 시도
2.  대화 / 선택지 / 재화 / 호감도 / 아이템 구매 확인창의 한글 텍스트가 정상적으로 출력되는지 확인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</si>
  <si>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사운드 불륨을 조절하는 슬라이더를 조절</t>
    </r>
    <phoneticPr fontId="7" type="noConversion"/>
  </si>
  <si>
    <r>
      <t>1. MainScene</t>
    </r>
    <r>
      <rPr>
        <sz val="9"/>
        <rFont val="Arial Unicode MS"/>
        <family val="2"/>
        <charset val="129"/>
      </rPr>
      <t xml:space="preserve">에서 볼륨을 조정
2.  </t>
    </r>
    <r>
      <rPr>
        <sz val="9"/>
        <rFont val="Verdana"/>
        <family val="2"/>
      </rPr>
      <t>GameScene</t>
    </r>
    <r>
      <rPr>
        <sz val="9"/>
        <rFont val="Arial Unicode MS"/>
        <family val="2"/>
        <charset val="129"/>
      </rPr>
      <t xml:space="preserve">에서 불륨을 조절
3.  두 </t>
    </r>
    <r>
      <rPr>
        <sz val="9"/>
        <rFont val="Verdana"/>
        <family val="2"/>
      </rPr>
      <t>Scene</t>
    </r>
    <r>
      <rPr>
        <sz val="9"/>
        <rFont val="Arial Unicode MS"/>
        <family val="2"/>
        <charset val="129"/>
      </rPr>
      <t>에서 불륨이 동일한지 확인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</si>
  <si>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사운드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슬라이더를 왼쪽으로 조절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</si>
  <si>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사운드 슬라이더를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오른쪽으로 조절</t>
    </r>
    <phoneticPr fontId="7" type="noConversion"/>
  </si>
  <si>
    <t>로비 화면</t>
    <phoneticPr fontId="7" type="noConversion"/>
  </si>
  <si>
    <t>설정</t>
    <phoneticPr fontId="7" type="noConversion"/>
  </si>
  <si>
    <r>
      <t>W(앞으로가기</t>
    </r>
    <r>
      <rPr>
        <sz val="9"/>
        <rFont val="돋움"/>
        <family val="2"/>
        <charset val="129"/>
      </rPr>
      <t>) 를 누른다</t>
    </r>
    <phoneticPr fontId="7" type="noConversion"/>
  </si>
  <si>
    <r>
      <t>1. 게임을</t>
    </r>
    <r>
      <rPr>
        <sz val="9"/>
        <rFont val="돋움"/>
        <family val="2"/>
        <charset val="129"/>
      </rPr>
      <t xml:space="preserve"> 진행
2.  W키를 입력</t>
    </r>
    <phoneticPr fontId="7" type="noConversion"/>
  </si>
  <si>
    <t>앞으로 가진다</t>
    <phoneticPr fontId="7" type="noConversion"/>
  </si>
  <si>
    <t>Pass</t>
    <phoneticPr fontId="7" type="noConversion"/>
  </si>
  <si>
    <r>
      <t>S(</t>
    </r>
    <r>
      <rPr>
        <sz val="9"/>
        <rFont val="맑은 고딕"/>
        <family val="3"/>
        <charset val="129"/>
      </rPr>
      <t>뒤로가기</t>
    </r>
    <r>
      <rPr>
        <sz val="9"/>
        <rFont val="돋움"/>
        <family val="2"/>
        <charset val="129"/>
      </rPr>
      <t>) 를 누른다</t>
    </r>
    <phoneticPr fontId="7" type="noConversion"/>
  </si>
  <si>
    <r>
      <t xml:space="preserve">1. </t>
    </r>
    <r>
      <rPr>
        <sz val="9"/>
        <rFont val="맑은 고딕"/>
        <family val="3"/>
        <charset val="129"/>
      </rPr>
      <t>게임을</t>
    </r>
    <r>
      <rPr>
        <sz val="9"/>
        <rFont val="돋움"/>
        <family val="2"/>
        <charset val="129"/>
      </rPr>
      <t xml:space="preserve"> 진행
2.  S키를 입력</t>
    </r>
    <phoneticPr fontId="7" type="noConversion"/>
  </si>
  <si>
    <t>뒤로 가진다</t>
    <phoneticPr fontId="7" type="noConversion"/>
  </si>
  <si>
    <r>
      <t>A(</t>
    </r>
    <r>
      <rPr>
        <sz val="9"/>
        <rFont val="돋움"/>
        <family val="2"/>
        <charset val="129"/>
      </rPr>
      <t>왼쪽으로</t>
    </r>
    <r>
      <rPr>
        <sz val="9"/>
        <rFont val="맑은 고딕"/>
        <family val="3"/>
        <charset val="129"/>
      </rPr>
      <t>가기</t>
    </r>
    <r>
      <rPr>
        <sz val="9"/>
        <rFont val="돋움"/>
        <family val="2"/>
        <charset val="129"/>
      </rPr>
      <t>) 를 누른다</t>
    </r>
    <phoneticPr fontId="7" type="noConversion"/>
  </si>
  <si>
    <r>
      <t xml:space="preserve">1. </t>
    </r>
    <r>
      <rPr>
        <sz val="9"/>
        <rFont val="맑은 고딕"/>
        <family val="3"/>
        <charset val="129"/>
      </rPr>
      <t>게임을</t>
    </r>
    <r>
      <rPr>
        <sz val="9"/>
        <rFont val="돋움"/>
        <family val="2"/>
        <charset val="129"/>
      </rPr>
      <t xml:space="preserve"> 진행
2.  A키를 입력</t>
    </r>
    <phoneticPr fontId="7" type="noConversion"/>
  </si>
  <si>
    <t>왼쪽으로 가진다</t>
    <phoneticPr fontId="7" type="noConversion"/>
  </si>
  <si>
    <r>
      <t xml:space="preserve">1. </t>
    </r>
    <r>
      <rPr>
        <sz val="9"/>
        <rFont val="맑은 고딕"/>
        <family val="3"/>
        <charset val="129"/>
      </rPr>
      <t>게임을</t>
    </r>
    <r>
      <rPr>
        <sz val="9"/>
        <rFont val="돋움"/>
        <family val="2"/>
        <charset val="129"/>
      </rPr>
      <t xml:space="preserve"> 진행
2.  D키를 입력</t>
    </r>
    <phoneticPr fontId="7" type="noConversion"/>
  </si>
  <si>
    <t>오른쪽으로 가진다</t>
    <phoneticPr fontId="7" type="noConversion"/>
  </si>
  <si>
    <r>
      <t>스페이스바(</t>
    </r>
    <r>
      <rPr>
        <sz val="9"/>
        <rFont val="맑은 고딕"/>
        <family val="3"/>
        <charset val="129"/>
      </rPr>
      <t>점프</t>
    </r>
    <r>
      <rPr>
        <sz val="9"/>
        <rFont val="돋움"/>
        <family val="2"/>
        <charset val="129"/>
      </rPr>
      <t>) 를 누른다</t>
    </r>
    <phoneticPr fontId="7" type="noConversion"/>
  </si>
  <si>
    <r>
      <t xml:space="preserve">1. </t>
    </r>
    <r>
      <rPr>
        <sz val="9"/>
        <rFont val="맑은 고딕"/>
        <family val="3"/>
        <charset val="129"/>
      </rPr>
      <t>게임을</t>
    </r>
    <r>
      <rPr>
        <sz val="9"/>
        <rFont val="돋움"/>
        <family val="2"/>
        <charset val="129"/>
      </rPr>
      <t xml:space="preserve"> 진행
2.  스페이스바 키를 입력</t>
    </r>
    <phoneticPr fontId="7" type="noConversion"/>
  </si>
  <si>
    <t>점프가 된다</t>
    <phoneticPr fontId="7" type="noConversion"/>
  </si>
  <si>
    <r>
      <t>W를</t>
    </r>
    <r>
      <rPr>
        <sz val="9"/>
        <rFont val="돋움"/>
        <family val="2"/>
        <charset val="129"/>
      </rPr>
      <t xml:space="preserve"> 누르는 중 Shift</t>
    </r>
    <r>
      <rPr>
        <sz val="9"/>
        <rFont val="Verdana"/>
        <family val="2"/>
      </rPr>
      <t>(</t>
    </r>
    <r>
      <rPr>
        <sz val="9"/>
        <rFont val="돋움"/>
        <family val="3"/>
        <charset val="129"/>
      </rPr>
      <t>달리기</t>
    </r>
    <r>
      <rPr>
        <sz val="9"/>
        <rFont val="돋움"/>
        <family val="2"/>
        <charset val="129"/>
      </rPr>
      <t>) 를 누른다</t>
    </r>
    <phoneticPr fontId="7" type="noConversion"/>
  </si>
  <si>
    <r>
      <t xml:space="preserve">1. </t>
    </r>
    <r>
      <rPr>
        <sz val="9"/>
        <rFont val="맑은 고딕"/>
        <family val="3"/>
        <charset val="129"/>
      </rPr>
      <t>게임을</t>
    </r>
    <r>
      <rPr>
        <sz val="9"/>
        <rFont val="돋움"/>
        <family val="2"/>
        <charset val="129"/>
      </rPr>
      <t xml:space="preserve"> 진행
2.  W키 입력중 Shift키를 입력</t>
    </r>
    <phoneticPr fontId="7" type="noConversion"/>
  </si>
  <si>
    <t>이동 속도가 빨라진다</t>
    <phoneticPr fontId="7" type="noConversion"/>
  </si>
  <si>
    <r>
      <t>D(</t>
    </r>
    <r>
      <rPr>
        <sz val="9"/>
        <rFont val="맑은 고딕"/>
        <family val="3"/>
        <charset val="129"/>
      </rPr>
      <t>오른쪽으로가기</t>
    </r>
    <r>
      <rPr>
        <sz val="9"/>
        <rFont val="돋움"/>
        <family val="2"/>
        <charset val="129"/>
      </rPr>
      <t>) 를 누른다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</si>
</sst>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Arial"/>
    </font>
    <font>
      <b/>
      <sz val="9"/>
      <name val="Verdana"/>
      <family val="2"/>
    </font>
    <font>
      <sz val="9"/>
      <name val="Verdana"/>
      <family val="2"/>
    </font>
    <font>
      <sz val="10"/>
      <name val="Arial"/>
      <family val="2"/>
    </font>
    <font>
      <b/>
      <sz val="9"/>
      <name val="굴림"/>
      <family val="3"/>
      <charset val="129"/>
    </font>
    <font>
      <b/>
      <sz val="9"/>
      <color rgb="FFFFFFFF"/>
      <name val="굴림"/>
      <family val="3"/>
      <charset val="129"/>
    </font>
    <font>
      <sz val="9"/>
      <name val="굴림"/>
      <family val="3"/>
      <charset val="129"/>
    </font>
    <font>
      <sz val="8"/>
      <name val="돋움"/>
      <family val="3"/>
      <charset val="129"/>
    </font>
    <font>
      <sz val="10"/>
      <color rgb="FF000000"/>
      <name val="Arial"/>
      <family val="2"/>
    </font>
    <font>
      <sz val="9"/>
      <name val="맑은 고딕"/>
      <family val="3"/>
      <charset val="129"/>
    </font>
    <font>
      <sz val="9"/>
      <name val="Arial Unicode MS"/>
      <family val="2"/>
      <charset val="129"/>
    </font>
    <font>
      <sz val="9"/>
      <name val="Verdana"/>
      <family val="3"/>
      <charset val="129"/>
    </font>
    <font>
      <b/>
      <sz val="9"/>
      <name val="맑은 고딕"/>
      <family val="3"/>
      <charset val="129"/>
    </font>
    <font>
      <b/>
      <sz val="9"/>
      <name val="Verdana"/>
      <family val="3"/>
      <charset val="129"/>
    </font>
    <font>
      <sz val="10"/>
      <color rgb="FF000000"/>
      <name val="돋움"/>
      <family val="3"/>
      <charset val="129"/>
    </font>
    <font>
      <sz val="9"/>
      <name val="Verdana"/>
      <family val="2"/>
      <charset val="129"/>
    </font>
    <font>
      <sz val="9"/>
      <name val="맑은 고딕"/>
      <family val="2"/>
      <charset val="129"/>
    </font>
    <font>
      <sz val="9"/>
      <name val="Arial"/>
      <family val="2"/>
    </font>
    <font>
      <sz val="9"/>
      <name val="Arial"/>
      <family val="2"/>
      <charset val="129"/>
    </font>
    <font>
      <sz val="9"/>
      <name val="돋움"/>
      <family val="2"/>
      <charset val="129"/>
    </font>
    <font>
      <sz val="9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5" fillId="3" borderId="0" xfId="0" applyFont="1" applyFill="1" applyAlignment="1">
      <alignment wrapText="1"/>
    </xf>
    <xf numFmtId="0" fontId="6" fillId="4" borderId="0" xfId="0" applyFont="1" applyFill="1" applyAlignment="1">
      <alignment wrapText="1"/>
    </xf>
    <xf numFmtId="0" fontId="6" fillId="0" borderId="0" xfId="0" applyFont="1" applyAlignment="1">
      <alignment wrapText="1"/>
    </xf>
    <xf numFmtId="9" fontId="6" fillId="0" borderId="0" xfId="0" applyNumberFormat="1" applyFont="1" applyAlignment="1">
      <alignment wrapText="1"/>
    </xf>
    <xf numFmtId="0" fontId="6" fillId="5" borderId="0" xfId="0" applyFont="1" applyFill="1" applyAlignment="1">
      <alignment wrapText="1"/>
    </xf>
    <xf numFmtId="9" fontId="6" fillId="5" borderId="0" xfId="0" applyNumberFormat="1" applyFont="1" applyFill="1" applyAlignment="1">
      <alignment wrapText="1"/>
    </xf>
    <xf numFmtId="0" fontId="6" fillId="6" borderId="0" xfId="0" applyFont="1" applyFill="1" applyAlignment="1">
      <alignment wrapText="1"/>
    </xf>
    <xf numFmtId="10" fontId="6" fillId="6" borderId="0" xfId="0" applyNumberFormat="1" applyFont="1" applyFill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15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0" fillId="0" borderId="6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7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10" fillId="0" borderId="7" xfId="0" applyFont="1" applyBorder="1" applyAlignment="1">
      <alignment horizontal="left" vertical="center" wrapText="1"/>
    </xf>
  </cellXfs>
  <cellStyles count="1">
    <cellStyle name="표준" xfId="0" builtinId="0"/>
  </cellStyles>
  <dxfs count="94"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783F04"/>
      </font>
      <fill>
        <patternFill patternType="solid">
          <fgColor rgb="FFFCE5CD"/>
          <bgColor rgb="FFFCE5CD"/>
        </patternFill>
      </fill>
    </dxf>
    <dxf>
      <font>
        <color rgb="FF20124D"/>
      </font>
      <fill>
        <patternFill patternType="solid">
          <fgColor rgb="FFD9D2E9"/>
          <bgColor rgb="FFD9D2E9"/>
        </patternFill>
      </fill>
    </dxf>
    <dxf>
      <font>
        <color rgb="FF660000"/>
      </font>
      <fill>
        <patternFill patternType="solid">
          <fgColor rgb="FFF4CCCC"/>
          <bgColor rgb="FFF4CCCC"/>
        </patternFill>
      </fill>
    </dxf>
    <dxf>
      <font>
        <color rgb="FF073763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ill>
        <patternFill patternType="solid">
          <fgColor rgb="FFF3F3F3"/>
          <bgColor rgb="FFF3F3F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L65"/>
  <sheetViews>
    <sheetView tabSelected="1" topLeftCell="B1" zoomScale="70" zoomScaleNormal="70" workbookViewId="0">
      <pane ySplit="1" topLeftCell="A2" activePane="bottomLeft" state="frozen"/>
      <selection pane="bottomLeft" activeCell="M30" sqref="M30"/>
    </sheetView>
  </sheetViews>
  <sheetFormatPr defaultColWidth="12.5703125" defaultRowHeight="12.75" customHeight="1"/>
  <cols>
    <col min="1" max="1" width="4.5703125" bestFit="1" customWidth="1"/>
    <col min="2" max="2" width="10.42578125" bestFit="1" customWidth="1"/>
    <col min="3" max="3" width="11.140625" bestFit="1" customWidth="1"/>
    <col min="4" max="4" width="15.85546875" bestFit="1" customWidth="1"/>
    <col min="5" max="5" width="46.42578125" customWidth="1"/>
    <col min="6" max="6" width="21" bestFit="1" customWidth="1"/>
    <col min="7" max="7" width="59.85546875" bestFit="1" customWidth="1"/>
    <col min="8" max="8" width="57" bestFit="1" customWidth="1"/>
    <col min="9" max="9" width="6.28515625" style="14" bestFit="1" customWidth="1"/>
    <col min="10" max="10" width="9.42578125" bestFit="1" customWidth="1"/>
    <col min="11" max="11" width="5.42578125" bestFit="1" customWidth="1"/>
    <col min="12" max="12" width="10.42578125" bestFit="1" customWidth="1"/>
  </cols>
  <sheetData>
    <row r="1" spans="1:1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6" t="s">
        <v>27</v>
      </c>
      <c r="G1" s="15" t="s">
        <v>5</v>
      </c>
      <c r="H1" s="15" t="s">
        <v>6</v>
      </c>
      <c r="I1" s="17" t="s">
        <v>7</v>
      </c>
      <c r="J1" s="15" t="s">
        <v>8</v>
      </c>
      <c r="K1" s="15" t="s">
        <v>9</v>
      </c>
      <c r="L1" s="15" t="s">
        <v>10</v>
      </c>
    </row>
    <row r="2" spans="1:12">
      <c r="A2" s="10">
        <f t="shared" ref="A2:A64" si="0">ROW()-2</f>
        <v>0</v>
      </c>
      <c r="B2" s="48" t="s">
        <v>28</v>
      </c>
      <c r="C2" s="10" t="s">
        <v>12</v>
      </c>
      <c r="D2" s="10"/>
      <c r="E2" s="18"/>
      <c r="F2" s="10"/>
      <c r="G2" s="10"/>
      <c r="H2" s="18"/>
      <c r="I2" s="19"/>
      <c r="J2" s="10"/>
      <c r="K2" s="10"/>
      <c r="L2" s="10"/>
    </row>
    <row r="3" spans="1:12" ht="12.75" customHeight="1">
      <c r="A3" s="20">
        <f t="shared" si="0"/>
        <v>1</v>
      </c>
      <c r="B3" s="46"/>
      <c r="C3" s="49" t="s">
        <v>14</v>
      </c>
      <c r="D3" s="49"/>
      <c r="E3" s="58"/>
      <c r="F3" s="49"/>
      <c r="G3" s="49"/>
      <c r="H3" s="49"/>
      <c r="I3" s="57"/>
      <c r="J3" s="49"/>
      <c r="K3" s="49"/>
      <c r="L3" s="10"/>
    </row>
    <row r="4" spans="1:12">
      <c r="A4" s="20">
        <f t="shared" si="0"/>
        <v>2</v>
      </c>
      <c r="B4" s="46"/>
      <c r="C4" s="46"/>
      <c r="D4" s="49"/>
      <c r="E4" s="49"/>
      <c r="F4" s="49"/>
      <c r="G4" s="49"/>
      <c r="H4" s="49"/>
      <c r="I4" s="57"/>
      <c r="J4" s="49"/>
      <c r="K4" s="49"/>
      <c r="L4" s="10"/>
    </row>
    <row r="5" spans="1:12" ht="12.75" customHeight="1">
      <c r="A5" s="20">
        <f t="shared" si="0"/>
        <v>3</v>
      </c>
      <c r="B5" s="46"/>
      <c r="C5" s="46"/>
      <c r="D5" s="49"/>
      <c r="E5" s="49"/>
      <c r="F5" s="49"/>
      <c r="G5" s="49"/>
      <c r="H5" s="58"/>
      <c r="I5" s="57"/>
      <c r="J5" s="49"/>
      <c r="K5" s="49"/>
      <c r="L5" s="10"/>
    </row>
    <row r="6" spans="1:12">
      <c r="A6" s="20">
        <f t="shared" si="0"/>
        <v>4</v>
      </c>
      <c r="B6" s="46"/>
      <c r="C6" s="46"/>
      <c r="D6" s="49"/>
      <c r="E6" s="49"/>
      <c r="F6" s="49"/>
      <c r="G6" s="49"/>
      <c r="H6" s="49"/>
      <c r="I6" s="57"/>
      <c r="J6" s="49"/>
      <c r="K6" s="49"/>
      <c r="L6" s="10"/>
    </row>
    <row r="7" spans="1:12" ht="12.75" customHeight="1" thickBot="1">
      <c r="A7" s="20">
        <f t="shared" si="0"/>
        <v>5</v>
      </c>
      <c r="B7" s="47"/>
      <c r="C7" s="47"/>
      <c r="D7" s="12"/>
      <c r="E7" s="12"/>
      <c r="F7" s="12"/>
      <c r="G7" s="12"/>
      <c r="H7" s="27"/>
      <c r="I7" s="28"/>
      <c r="J7" s="12"/>
      <c r="K7" s="12"/>
      <c r="L7" s="12"/>
    </row>
    <row r="8" spans="1:12">
      <c r="A8" s="20">
        <f t="shared" si="0"/>
        <v>6</v>
      </c>
      <c r="B8" s="45" t="s">
        <v>19</v>
      </c>
      <c r="C8" s="50" t="s">
        <v>120</v>
      </c>
      <c r="D8" s="59" t="s">
        <v>135</v>
      </c>
      <c r="E8" s="29" t="s">
        <v>72</v>
      </c>
      <c r="F8" s="13" t="s">
        <v>99</v>
      </c>
      <c r="G8" s="13" t="s">
        <v>75</v>
      </c>
      <c r="H8" s="30" t="s">
        <v>78</v>
      </c>
      <c r="I8" s="19" t="s">
        <v>109</v>
      </c>
      <c r="J8" s="13"/>
      <c r="K8" s="13"/>
      <c r="L8" s="13" t="str">
        <f t="shared" ref="L8:L12" si="1">IF(B8="",L7,B8)</f>
        <v>메뉴기능</v>
      </c>
    </row>
    <row r="9" spans="1:12">
      <c r="A9" s="20">
        <f t="shared" si="0"/>
        <v>7</v>
      </c>
      <c r="B9" s="46"/>
      <c r="C9" s="46"/>
      <c r="D9" s="60"/>
      <c r="E9" s="21" t="s">
        <v>73</v>
      </c>
      <c r="F9" s="10" t="s">
        <v>99</v>
      </c>
      <c r="G9" s="10" t="s">
        <v>76</v>
      </c>
      <c r="H9" s="22" t="s">
        <v>79</v>
      </c>
      <c r="I9" s="19" t="s">
        <v>109</v>
      </c>
      <c r="J9" s="10"/>
      <c r="K9" s="10"/>
      <c r="L9" s="10" t="str">
        <f t="shared" si="1"/>
        <v>메뉴기능</v>
      </c>
    </row>
    <row r="10" spans="1:12">
      <c r="A10" s="20">
        <f t="shared" si="0"/>
        <v>8</v>
      </c>
      <c r="B10" s="46"/>
      <c r="C10" s="46"/>
      <c r="D10" s="60"/>
      <c r="E10" s="21" t="s">
        <v>74</v>
      </c>
      <c r="F10" s="10" t="s">
        <v>99</v>
      </c>
      <c r="G10" s="21" t="s">
        <v>77</v>
      </c>
      <c r="H10" s="21" t="s">
        <v>80</v>
      </c>
      <c r="I10" s="19" t="s">
        <v>109</v>
      </c>
      <c r="J10" s="10"/>
      <c r="K10" s="10"/>
      <c r="L10" s="10" t="str">
        <f t="shared" si="1"/>
        <v>메뉴기능</v>
      </c>
    </row>
    <row r="11" spans="1:12" ht="12.75" customHeight="1">
      <c r="A11" s="20">
        <f t="shared" si="0"/>
        <v>9</v>
      </c>
      <c r="B11" s="46"/>
      <c r="C11" s="46"/>
      <c r="D11" s="53" t="s">
        <v>136</v>
      </c>
      <c r="E11" s="21" t="s">
        <v>83</v>
      </c>
      <c r="F11" s="10" t="s">
        <v>99</v>
      </c>
      <c r="G11" s="10" t="s">
        <v>131</v>
      </c>
      <c r="H11" s="21" t="s">
        <v>84</v>
      </c>
      <c r="I11" s="19" t="s">
        <v>109</v>
      </c>
      <c r="J11" s="10"/>
      <c r="K11" s="10"/>
      <c r="L11" s="10" t="str">
        <f t="shared" si="1"/>
        <v>메뉴기능</v>
      </c>
    </row>
    <row r="12" spans="1:12">
      <c r="A12" s="20">
        <f t="shared" si="0"/>
        <v>10</v>
      </c>
      <c r="B12" s="46"/>
      <c r="C12" s="46"/>
      <c r="D12" s="46"/>
      <c r="E12" s="10" t="s">
        <v>82</v>
      </c>
      <c r="F12" s="10" t="s">
        <v>99</v>
      </c>
      <c r="G12" s="10" t="s">
        <v>85</v>
      </c>
      <c r="H12" s="21" t="s">
        <v>86</v>
      </c>
      <c r="I12" s="19" t="s">
        <v>109</v>
      </c>
      <c r="J12" s="10"/>
      <c r="K12" s="10"/>
      <c r="L12" s="10" t="str">
        <f t="shared" si="1"/>
        <v>메뉴기능</v>
      </c>
    </row>
    <row r="13" spans="1:12" ht="33.75">
      <c r="A13" s="20">
        <f t="shared" si="0"/>
        <v>11</v>
      </c>
      <c r="B13" s="46"/>
      <c r="C13" s="46"/>
      <c r="D13" s="65" t="s">
        <v>81</v>
      </c>
      <c r="E13" s="37" t="s">
        <v>111</v>
      </c>
      <c r="F13" s="39" t="s">
        <v>112</v>
      </c>
      <c r="G13" s="36" t="s">
        <v>132</v>
      </c>
      <c r="H13" s="39" t="s">
        <v>122</v>
      </c>
      <c r="I13" s="38" t="s">
        <v>110</v>
      </c>
      <c r="J13" s="36" t="s">
        <v>113</v>
      </c>
      <c r="K13" s="36"/>
      <c r="L13" s="36" t="str">
        <f>IF(B13="",L12,B13)</f>
        <v>메뉴기능</v>
      </c>
    </row>
    <row r="14" spans="1:12" ht="22.5">
      <c r="A14" s="20">
        <f t="shared" si="0"/>
        <v>12</v>
      </c>
      <c r="B14" s="46"/>
      <c r="C14" s="46"/>
      <c r="D14" s="65"/>
      <c r="E14" s="39" t="s">
        <v>87</v>
      </c>
      <c r="F14" s="36" t="s">
        <v>100</v>
      </c>
      <c r="G14" s="36" t="s">
        <v>133</v>
      </c>
      <c r="H14" s="39" t="s">
        <v>90</v>
      </c>
      <c r="I14" s="38" t="s">
        <v>109</v>
      </c>
      <c r="J14" s="36"/>
      <c r="K14" s="36"/>
      <c r="L14" s="36" t="str">
        <f>IF(B14="",L12,B14)</f>
        <v>메뉴기능</v>
      </c>
    </row>
    <row r="15" spans="1:12" ht="23.25" thickBot="1">
      <c r="A15" s="36"/>
      <c r="B15" s="47"/>
      <c r="C15" s="51"/>
      <c r="D15" s="66"/>
      <c r="E15" s="31" t="s">
        <v>88</v>
      </c>
      <c r="F15" s="12" t="s">
        <v>100</v>
      </c>
      <c r="G15" s="12" t="s">
        <v>134</v>
      </c>
      <c r="H15" s="32" t="s">
        <v>89</v>
      </c>
      <c r="I15" s="28" t="s">
        <v>109</v>
      </c>
      <c r="J15" s="12"/>
      <c r="K15" s="12"/>
      <c r="L15" s="12" t="str">
        <f>IF(B15="",L13,B15)</f>
        <v>메뉴기능</v>
      </c>
    </row>
    <row r="16" spans="1:12">
      <c r="A16" s="20">
        <f t="shared" si="0"/>
        <v>14</v>
      </c>
      <c r="B16" s="52" t="s">
        <v>20</v>
      </c>
      <c r="C16" s="67" t="s">
        <v>30</v>
      </c>
      <c r="D16" s="54" t="s">
        <v>29</v>
      </c>
      <c r="E16" s="25" t="s">
        <v>31</v>
      </c>
      <c r="F16" s="11" t="s">
        <v>98</v>
      </c>
      <c r="G16" s="11" t="s">
        <v>58</v>
      </c>
      <c r="H16" s="25" t="s">
        <v>33</v>
      </c>
      <c r="I16" s="26" t="s">
        <v>109</v>
      </c>
      <c r="J16" s="11"/>
      <c r="K16" s="11"/>
      <c r="L16" s="40" t="str">
        <f>IF(B16="",#REF!,B16)</f>
        <v>인게임기능</v>
      </c>
    </row>
    <row r="17" spans="1:12">
      <c r="A17" s="20">
        <f t="shared" si="0"/>
        <v>15</v>
      </c>
      <c r="B17" s="49"/>
      <c r="C17" s="56"/>
      <c r="D17" s="53"/>
      <c r="E17" s="22" t="s">
        <v>37</v>
      </c>
      <c r="F17" s="10" t="s">
        <v>98</v>
      </c>
      <c r="G17" s="10" t="s">
        <v>59</v>
      </c>
      <c r="H17" s="22" t="s">
        <v>38</v>
      </c>
      <c r="I17" s="19" t="s">
        <v>109</v>
      </c>
      <c r="J17" s="10"/>
      <c r="K17" s="10"/>
      <c r="L17" s="10" t="str">
        <f t="shared" ref="L17:L51" si="2">IF(B17="",L16,B17)</f>
        <v>인게임기능</v>
      </c>
    </row>
    <row r="18" spans="1:12">
      <c r="A18" s="20">
        <f t="shared" si="0"/>
        <v>16</v>
      </c>
      <c r="B18" s="49"/>
      <c r="C18" s="56"/>
      <c r="D18" s="53"/>
      <c r="E18" s="22" t="s">
        <v>41</v>
      </c>
      <c r="F18" s="10" t="s">
        <v>98</v>
      </c>
      <c r="G18" s="10" t="s">
        <v>60</v>
      </c>
      <c r="H18" s="21" t="s">
        <v>39</v>
      </c>
      <c r="I18" s="19" t="s">
        <v>109</v>
      </c>
      <c r="J18" s="10"/>
      <c r="K18" s="10"/>
      <c r="L18" s="10" t="str">
        <f t="shared" si="2"/>
        <v>인게임기능</v>
      </c>
    </row>
    <row r="19" spans="1:12" ht="22.5">
      <c r="A19" s="20">
        <f t="shared" si="0"/>
        <v>17</v>
      </c>
      <c r="B19" s="49"/>
      <c r="C19" s="56"/>
      <c r="D19" s="53"/>
      <c r="E19" s="22" t="s">
        <v>40</v>
      </c>
      <c r="F19" s="10" t="s">
        <v>98</v>
      </c>
      <c r="G19" s="10" t="s">
        <v>61</v>
      </c>
      <c r="H19" s="21" t="s">
        <v>42</v>
      </c>
      <c r="I19" s="19" t="s">
        <v>109</v>
      </c>
      <c r="J19" s="10"/>
      <c r="K19" s="10"/>
      <c r="L19" s="10" t="str">
        <f t="shared" si="2"/>
        <v>인게임기능</v>
      </c>
    </row>
    <row r="20" spans="1:12" ht="22.5">
      <c r="A20" s="20">
        <f t="shared" si="0"/>
        <v>18</v>
      </c>
      <c r="B20" s="49"/>
      <c r="C20" s="56"/>
      <c r="D20" s="53"/>
      <c r="E20" s="21" t="s">
        <v>32</v>
      </c>
      <c r="F20" s="10" t="s">
        <v>98</v>
      </c>
      <c r="G20" s="10" t="s">
        <v>62</v>
      </c>
      <c r="H20" s="10" t="s">
        <v>55</v>
      </c>
      <c r="I20" s="19" t="s">
        <v>109</v>
      </c>
      <c r="J20" s="10"/>
      <c r="K20" s="10"/>
      <c r="L20" s="10" t="str">
        <f t="shared" si="2"/>
        <v>인게임기능</v>
      </c>
    </row>
    <row r="21" spans="1:12" ht="22.5">
      <c r="A21" s="20">
        <f t="shared" si="0"/>
        <v>19</v>
      </c>
      <c r="B21" s="49"/>
      <c r="C21" s="56"/>
      <c r="D21" s="53"/>
      <c r="E21" s="21" t="s">
        <v>34</v>
      </c>
      <c r="F21" s="10" t="s">
        <v>98</v>
      </c>
      <c r="G21" s="10" t="s">
        <v>63</v>
      </c>
      <c r="H21" s="21" t="s">
        <v>45</v>
      </c>
      <c r="I21" s="19" t="s">
        <v>109</v>
      </c>
      <c r="J21" s="10"/>
      <c r="K21" s="10"/>
      <c r="L21" s="10" t="str">
        <f t="shared" si="2"/>
        <v>인게임기능</v>
      </c>
    </row>
    <row r="22" spans="1:12" ht="22.5">
      <c r="A22" s="20">
        <f t="shared" si="0"/>
        <v>20</v>
      </c>
      <c r="B22" s="46"/>
      <c r="C22" s="56"/>
      <c r="D22" s="53"/>
      <c r="E22" s="21" t="s">
        <v>35</v>
      </c>
      <c r="F22" s="10" t="s">
        <v>98</v>
      </c>
      <c r="G22" s="10" t="s">
        <v>64</v>
      </c>
      <c r="H22" s="21" t="s">
        <v>36</v>
      </c>
      <c r="I22" s="19" t="s">
        <v>109</v>
      </c>
      <c r="J22" s="10"/>
      <c r="K22" s="10"/>
      <c r="L22" s="10" t="str">
        <f t="shared" si="2"/>
        <v>인게임기능</v>
      </c>
    </row>
    <row r="23" spans="1:12" ht="22.5">
      <c r="A23" s="20">
        <f t="shared" si="0"/>
        <v>21</v>
      </c>
      <c r="B23" s="46"/>
      <c r="C23" s="56"/>
      <c r="D23" s="53"/>
      <c r="E23" s="21" t="s">
        <v>43</v>
      </c>
      <c r="F23" s="10" t="s">
        <v>98</v>
      </c>
      <c r="G23" s="10" t="s">
        <v>65</v>
      </c>
      <c r="H23" s="21" t="s">
        <v>44</v>
      </c>
      <c r="I23" s="19" t="s">
        <v>110</v>
      </c>
      <c r="J23" s="10" t="s">
        <v>113</v>
      </c>
      <c r="K23" s="10"/>
      <c r="L23" s="10" t="str">
        <f t="shared" si="2"/>
        <v>인게임기능</v>
      </c>
    </row>
    <row r="24" spans="1:12">
      <c r="A24" s="20">
        <f t="shared" si="0"/>
        <v>22</v>
      </c>
      <c r="B24" s="46"/>
      <c r="C24" s="56"/>
      <c r="D24" s="55" t="s">
        <v>47</v>
      </c>
      <c r="E24" s="21" t="s">
        <v>48</v>
      </c>
      <c r="F24" s="10" t="s">
        <v>98</v>
      </c>
      <c r="G24" s="10" t="s">
        <v>66</v>
      </c>
      <c r="H24" s="22" t="s">
        <v>49</v>
      </c>
      <c r="I24" s="19" t="s">
        <v>109</v>
      </c>
      <c r="J24" s="10"/>
      <c r="K24" s="10"/>
      <c r="L24" s="10" t="str">
        <f t="shared" si="2"/>
        <v>인게임기능</v>
      </c>
    </row>
    <row r="25" spans="1:12">
      <c r="A25" s="20">
        <f t="shared" si="0"/>
        <v>23</v>
      </c>
      <c r="B25" s="46"/>
      <c r="C25" s="56"/>
      <c r="D25" s="56"/>
      <c r="E25" s="22" t="s">
        <v>50</v>
      </c>
      <c r="F25" s="10" t="s">
        <v>98</v>
      </c>
      <c r="G25" s="10" t="s">
        <v>67</v>
      </c>
      <c r="H25" s="22" t="s">
        <v>51</v>
      </c>
      <c r="I25" s="19" t="s">
        <v>109</v>
      </c>
      <c r="J25" s="10"/>
      <c r="K25" s="10"/>
      <c r="L25" s="10" t="str">
        <f t="shared" si="2"/>
        <v>인게임기능</v>
      </c>
    </row>
    <row r="26" spans="1:12" ht="22.5">
      <c r="A26" s="20">
        <f t="shared" si="0"/>
        <v>24</v>
      </c>
      <c r="B26" s="46"/>
      <c r="C26" s="56"/>
      <c r="D26" s="56"/>
      <c r="E26" s="22" t="s">
        <v>52</v>
      </c>
      <c r="F26" s="10" t="s">
        <v>98</v>
      </c>
      <c r="G26" s="10" t="s">
        <v>68</v>
      </c>
      <c r="H26" s="21" t="s">
        <v>56</v>
      </c>
      <c r="I26" s="19" t="s">
        <v>109</v>
      </c>
      <c r="J26" s="10"/>
      <c r="K26" s="10"/>
      <c r="L26" s="10" t="str">
        <f t="shared" si="2"/>
        <v>인게임기능</v>
      </c>
    </row>
    <row r="27" spans="1:12" ht="22.5">
      <c r="A27" s="20">
        <f t="shared" si="0"/>
        <v>25</v>
      </c>
      <c r="B27" s="46"/>
      <c r="C27" s="56"/>
      <c r="D27" s="56"/>
      <c r="E27" s="21" t="s">
        <v>46</v>
      </c>
      <c r="F27" s="10" t="s">
        <v>98</v>
      </c>
      <c r="G27" s="10" t="s">
        <v>69</v>
      </c>
      <c r="H27" s="21" t="s">
        <v>53</v>
      </c>
      <c r="I27" s="19" t="s">
        <v>110</v>
      </c>
      <c r="J27" s="10" t="s">
        <v>113</v>
      </c>
      <c r="K27" s="10"/>
      <c r="L27" s="10" t="str">
        <f t="shared" si="2"/>
        <v>인게임기능</v>
      </c>
    </row>
    <row r="28" spans="1:12" ht="22.5">
      <c r="A28" s="20">
        <f t="shared" si="0"/>
        <v>26</v>
      </c>
      <c r="B28" s="46"/>
      <c r="C28" s="56"/>
      <c r="D28" s="54"/>
      <c r="E28" s="21" t="s">
        <v>54</v>
      </c>
      <c r="F28" s="10" t="s">
        <v>98</v>
      </c>
      <c r="G28" s="10" t="s">
        <v>70</v>
      </c>
      <c r="H28" s="21" t="s">
        <v>57</v>
      </c>
      <c r="I28" s="19" t="s">
        <v>109</v>
      </c>
      <c r="J28" s="10"/>
      <c r="K28" s="10"/>
      <c r="L28" s="10" t="str">
        <f t="shared" si="2"/>
        <v>인게임기능</v>
      </c>
    </row>
    <row r="29" spans="1:12">
      <c r="A29" s="20">
        <f t="shared" si="0"/>
        <v>27</v>
      </c>
      <c r="B29" s="46"/>
      <c r="C29" s="56"/>
      <c r="D29" s="55"/>
      <c r="E29" s="37"/>
      <c r="F29" s="36"/>
      <c r="G29" s="36"/>
      <c r="H29" s="39"/>
      <c r="I29" s="38"/>
      <c r="J29" s="10"/>
      <c r="K29" s="10"/>
      <c r="L29" s="10"/>
    </row>
    <row r="30" spans="1:12">
      <c r="A30" s="36"/>
      <c r="B30" s="46"/>
      <c r="C30" s="56"/>
      <c r="D30" s="56"/>
      <c r="E30" s="37"/>
      <c r="F30" s="36"/>
      <c r="G30" s="36"/>
      <c r="H30" s="39"/>
      <c r="I30" s="38"/>
      <c r="J30" s="36"/>
      <c r="K30" s="36"/>
      <c r="L30" s="36"/>
    </row>
    <row r="31" spans="1:12">
      <c r="A31" s="36"/>
      <c r="B31" s="46"/>
      <c r="C31" s="56"/>
      <c r="D31" s="56"/>
      <c r="E31" s="37"/>
      <c r="F31" s="36"/>
      <c r="G31" s="36"/>
      <c r="H31" s="39"/>
      <c r="I31" s="38"/>
      <c r="J31" s="36"/>
      <c r="K31" s="36"/>
      <c r="L31" s="36"/>
    </row>
    <row r="32" spans="1:12">
      <c r="A32" s="36"/>
      <c r="B32" s="46"/>
      <c r="C32" s="56"/>
      <c r="D32" s="56"/>
      <c r="E32" s="37"/>
      <c r="F32" s="36"/>
      <c r="G32" s="36"/>
      <c r="H32" s="39"/>
      <c r="I32" s="38"/>
      <c r="J32" s="36"/>
      <c r="K32" s="36"/>
      <c r="L32" s="36"/>
    </row>
    <row r="33" spans="1:12">
      <c r="A33" s="36"/>
      <c r="B33" s="46"/>
      <c r="C33" s="56"/>
      <c r="D33" s="56"/>
      <c r="E33" s="37"/>
      <c r="F33" s="36"/>
      <c r="G33" s="36"/>
      <c r="H33" s="39"/>
      <c r="I33" s="38"/>
      <c r="J33" s="36"/>
      <c r="K33" s="36"/>
      <c r="L33" s="36"/>
    </row>
    <row r="34" spans="1:12">
      <c r="A34" s="20">
        <f t="shared" si="0"/>
        <v>32</v>
      </c>
      <c r="B34" s="46"/>
      <c r="C34" s="56"/>
      <c r="D34" s="56"/>
      <c r="E34" s="37"/>
      <c r="F34" s="36"/>
      <c r="G34" s="36"/>
      <c r="H34" s="39"/>
      <c r="I34" s="38"/>
      <c r="J34" s="10"/>
      <c r="K34" s="10"/>
      <c r="L34" s="36"/>
    </row>
    <row r="35" spans="1:12">
      <c r="A35" s="36"/>
      <c r="B35" s="46"/>
      <c r="C35" s="56"/>
      <c r="D35" s="54"/>
      <c r="E35" s="39"/>
      <c r="F35" s="36"/>
      <c r="G35" s="36"/>
      <c r="H35" s="39"/>
      <c r="I35" s="38"/>
      <c r="J35" s="36"/>
      <c r="K35" s="36"/>
      <c r="L35" s="36"/>
    </row>
    <row r="36" spans="1:12">
      <c r="A36" s="20">
        <f t="shared" si="0"/>
        <v>34</v>
      </c>
      <c r="B36" s="46"/>
      <c r="C36" s="56"/>
      <c r="D36" s="53" t="s">
        <v>71</v>
      </c>
      <c r="E36" s="21" t="s">
        <v>91</v>
      </c>
      <c r="F36" s="22" t="s">
        <v>97</v>
      </c>
      <c r="G36" s="10" t="s">
        <v>129</v>
      </c>
      <c r="H36" s="21" t="s">
        <v>93</v>
      </c>
      <c r="I36" s="19" t="s">
        <v>109</v>
      </c>
      <c r="J36" s="10"/>
      <c r="K36" s="10"/>
      <c r="L36" s="10">
        <f>IF(B36="",L34,B36)</f>
        <v>0</v>
      </c>
    </row>
    <row r="37" spans="1:12">
      <c r="A37" s="20">
        <f t="shared" si="0"/>
        <v>35</v>
      </c>
      <c r="B37" s="46"/>
      <c r="C37" s="56"/>
      <c r="D37" s="64"/>
      <c r="E37" s="21" t="s">
        <v>92</v>
      </c>
      <c r="F37" s="22" t="s">
        <v>97</v>
      </c>
      <c r="G37" s="10" t="s">
        <v>128</v>
      </c>
      <c r="H37" s="21" t="s">
        <v>94</v>
      </c>
      <c r="I37" s="19" t="s">
        <v>109</v>
      </c>
      <c r="J37" s="10"/>
      <c r="K37" s="10"/>
      <c r="L37" s="10">
        <f t="shared" si="2"/>
        <v>0</v>
      </c>
    </row>
    <row r="38" spans="1:12" ht="22.5">
      <c r="A38" s="20">
        <f t="shared" si="0"/>
        <v>36</v>
      </c>
      <c r="B38" s="46"/>
      <c r="C38" s="56"/>
      <c r="D38" s="64"/>
      <c r="E38" s="21" t="s">
        <v>95</v>
      </c>
      <c r="F38" s="22" t="s">
        <v>97</v>
      </c>
      <c r="G38" s="10" t="s">
        <v>127</v>
      </c>
      <c r="H38" s="21" t="s">
        <v>105</v>
      </c>
      <c r="I38" s="19" t="s">
        <v>109</v>
      </c>
      <c r="J38" s="10"/>
      <c r="K38" s="10"/>
      <c r="L38" s="10">
        <f t="shared" si="2"/>
        <v>0</v>
      </c>
    </row>
    <row r="39" spans="1:12" ht="22.5">
      <c r="A39" s="20">
        <f t="shared" si="0"/>
        <v>37</v>
      </c>
      <c r="B39" s="46"/>
      <c r="C39" s="56"/>
      <c r="D39" s="64"/>
      <c r="E39" s="21" t="s">
        <v>96</v>
      </c>
      <c r="F39" s="22" t="s">
        <v>97</v>
      </c>
      <c r="G39" s="10" t="s">
        <v>126</v>
      </c>
      <c r="H39" s="21" t="s">
        <v>104</v>
      </c>
      <c r="I39" s="19" t="s">
        <v>109</v>
      </c>
      <c r="J39" s="10"/>
      <c r="K39" s="10"/>
      <c r="L39" s="10">
        <f t="shared" si="2"/>
        <v>0</v>
      </c>
    </row>
    <row r="40" spans="1:12" ht="56.25">
      <c r="A40" s="20">
        <f t="shared" si="0"/>
        <v>38</v>
      </c>
      <c r="B40" s="46"/>
      <c r="C40" s="56"/>
      <c r="D40" s="64"/>
      <c r="E40" s="21" t="s">
        <v>101</v>
      </c>
      <c r="F40" s="22" t="s">
        <v>97</v>
      </c>
      <c r="G40" s="10" t="s">
        <v>125</v>
      </c>
      <c r="H40" s="21" t="s">
        <v>106</v>
      </c>
      <c r="I40" s="19" t="s">
        <v>109</v>
      </c>
      <c r="J40" s="10"/>
      <c r="K40" s="10"/>
      <c r="L40" s="10">
        <f t="shared" si="2"/>
        <v>0</v>
      </c>
    </row>
    <row r="41" spans="1:12" ht="22.5">
      <c r="A41" s="20">
        <f t="shared" si="0"/>
        <v>39</v>
      </c>
      <c r="B41" s="46"/>
      <c r="C41" s="56"/>
      <c r="D41" s="64"/>
      <c r="E41" s="21" t="s">
        <v>102</v>
      </c>
      <c r="F41" s="22" t="s">
        <v>97</v>
      </c>
      <c r="G41" s="10" t="s">
        <v>124</v>
      </c>
      <c r="H41" s="21" t="s">
        <v>107</v>
      </c>
      <c r="I41" s="19" t="s">
        <v>109</v>
      </c>
      <c r="J41" s="10"/>
      <c r="K41" s="10"/>
      <c r="L41" s="10">
        <f t="shared" si="2"/>
        <v>0</v>
      </c>
    </row>
    <row r="42" spans="1:12" ht="22.5">
      <c r="A42" s="20">
        <f t="shared" si="0"/>
        <v>40</v>
      </c>
      <c r="B42" s="46"/>
      <c r="C42" s="56"/>
      <c r="D42" s="64"/>
      <c r="E42" s="21" t="s">
        <v>103</v>
      </c>
      <c r="F42" s="22" t="s">
        <v>97</v>
      </c>
      <c r="G42" s="10" t="s">
        <v>123</v>
      </c>
      <c r="H42" s="21" t="s">
        <v>108</v>
      </c>
      <c r="I42" s="19" t="s">
        <v>109</v>
      </c>
      <c r="J42" s="10"/>
      <c r="K42" s="10"/>
      <c r="L42" s="10">
        <f t="shared" si="2"/>
        <v>0</v>
      </c>
    </row>
    <row r="43" spans="1:12">
      <c r="A43" s="36"/>
      <c r="B43" s="46"/>
      <c r="C43" s="56"/>
      <c r="D43" s="34"/>
      <c r="E43" s="39"/>
      <c r="F43" s="37"/>
      <c r="G43" s="36"/>
      <c r="H43" s="39"/>
      <c r="I43" s="38"/>
      <c r="J43" s="36"/>
      <c r="K43" s="36"/>
      <c r="L43" s="36"/>
    </row>
    <row r="44" spans="1:12" ht="25.5" customHeight="1">
      <c r="A44" s="41"/>
      <c r="B44" s="46"/>
      <c r="C44" s="56"/>
      <c r="D44" s="55" t="s">
        <v>119</v>
      </c>
      <c r="E44" s="41" t="s">
        <v>137</v>
      </c>
      <c r="F44" s="37" t="s">
        <v>116</v>
      </c>
      <c r="G44" s="41" t="s">
        <v>138</v>
      </c>
      <c r="H44" s="44" t="s">
        <v>139</v>
      </c>
      <c r="I44" s="42" t="s">
        <v>140</v>
      </c>
      <c r="J44" s="41"/>
      <c r="K44" s="41"/>
      <c r="L44" s="41">
        <f t="shared" si="2"/>
        <v>0</v>
      </c>
    </row>
    <row r="45" spans="1:12" ht="23.25">
      <c r="A45" s="41"/>
      <c r="B45" s="46"/>
      <c r="C45" s="56"/>
      <c r="D45" s="56"/>
      <c r="E45" s="41" t="s">
        <v>141</v>
      </c>
      <c r="F45" s="37" t="s">
        <v>116</v>
      </c>
      <c r="G45" s="41" t="s">
        <v>142</v>
      </c>
      <c r="H45" s="44" t="s">
        <v>143</v>
      </c>
      <c r="I45" s="42" t="s">
        <v>140</v>
      </c>
      <c r="J45" s="41"/>
      <c r="K45" s="41"/>
      <c r="L45" s="41">
        <f t="shared" si="2"/>
        <v>0</v>
      </c>
    </row>
    <row r="46" spans="1:12" ht="23.25">
      <c r="A46" s="41"/>
      <c r="B46" s="46"/>
      <c r="C46" s="56"/>
      <c r="D46" s="56"/>
      <c r="E46" s="41" t="s">
        <v>144</v>
      </c>
      <c r="F46" s="37" t="s">
        <v>116</v>
      </c>
      <c r="G46" s="41" t="s">
        <v>145</v>
      </c>
      <c r="H46" s="44" t="s">
        <v>146</v>
      </c>
      <c r="I46" s="42" t="s">
        <v>140</v>
      </c>
      <c r="J46" s="41"/>
      <c r="K46" s="41"/>
      <c r="L46" s="41">
        <f t="shared" si="2"/>
        <v>0</v>
      </c>
    </row>
    <row r="47" spans="1:12" ht="23.25">
      <c r="A47" s="41"/>
      <c r="B47" s="46"/>
      <c r="C47" s="56"/>
      <c r="D47" s="56"/>
      <c r="E47" s="41" t="s">
        <v>155</v>
      </c>
      <c r="F47" s="37" t="s">
        <v>116</v>
      </c>
      <c r="G47" s="41" t="s">
        <v>147</v>
      </c>
      <c r="H47" s="44" t="s">
        <v>148</v>
      </c>
      <c r="I47" s="42" t="s">
        <v>140</v>
      </c>
      <c r="J47" s="41"/>
      <c r="K47" s="41"/>
      <c r="L47" s="41">
        <f t="shared" si="2"/>
        <v>0</v>
      </c>
    </row>
    <row r="48" spans="1:12" ht="23.25">
      <c r="A48" s="41"/>
      <c r="B48" s="46"/>
      <c r="C48" s="56"/>
      <c r="D48" s="56"/>
      <c r="E48" s="41" t="s">
        <v>149</v>
      </c>
      <c r="F48" s="37" t="s">
        <v>116</v>
      </c>
      <c r="G48" s="41" t="s">
        <v>150</v>
      </c>
      <c r="H48" s="44" t="s">
        <v>151</v>
      </c>
      <c r="I48" s="42" t="s">
        <v>140</v>
      </c>
      <c r="J48" s="41"/>
      <c r="K48" s="41"/>
      <c r="L48" s="41">
        <f t="shared" si="2"/>
        <v>0</v>
      </c>
    </row>
    <row r="49" spans="1:12" ht="23.25">
      <c r="A49" s="41"/>
      <c r="B49" s="46"/>
      <c r="C49" s="56"/>
      <c r="D49" s="54"/>
      <c r="E49" s="41" t="s">
        <v>152</v>
      </c>
      <c r="F49" s="37" t="s">
        <v>116</v>
      </c>
      <c r="G49" s="41" t="s">
        <v>153</v>
      </c>
      <c r="H49" s="44" t="s">
        <v>154</v>
      </c>
      <c r="I49" s="42" t="s">
        <v>140</v>
      </c>
      <c r="J49" s="41"/>
      <c r="K49" s="41"/>
      <c r="L49" s="41">
        <f t="shared" si="2"/>
        <v>0</v>
      </c>
    </row>
    <row r="50" spans="1:12">
      <c r="A50" s="36"/>
      <c r="B50" s="46"/>
      <c r="C50" s="56"/>
      <c r="D50" s="55"/>
      <c r="E50" s="39"/>
      <c r="F50" s="36"/>
      <c r="G50" s="36"/>
      <c r="H50" s="39"/>
      <c r="I50" s="38"/>
      <c r="J50" s="36"/>
      <c r="K50" s="36"/>
      <c r="L50" s="41"/>
    </row>
    <row r="51" spans="1:12">
      <c r="A51" s="36"/>
      <c r="B51" s="46"/>
      <c r="C51" s="54"/>
      <c r="D51" s="54"/>
      <c r="E51" s="35"/>
      <c r="F51" s="40"/>
      <c r="G51" s="40"/>
      <c r="H51" s="35"/>
      <c r="I51" s="38"/>
      <c r="J51" s="36"/>
      <c r="K51" s="36"/>
      <c r="L51" s="36"/>
    </row>
    <row r="52" spans="1:12" ht="33.75">
      <c r="A52" s="36"/>
      <c r="B52" s="46"/>
      <c r="C52" s="55" t="s">
        <v>121</v>
      </c>
      <c r="D52" s="33" t="s">
        <v>114</v>
      </c>
      <c r="E52" s="35" t="s">
        <v>115</v>
      </c>
      <c r="F52" s="25" t="s">
        <v>116</v>
      </c>
      <c r="G52" s="40" t="s">
        <v>130</v>
      </c>
      <c r="H52" s="35" t="s">
        <v>117</v>
      </c>
      <c r="I52" s="38" t="s">
        <v>110</v>
      </c>
      <c r="J52" s="36" t="s">
        <v>118</v>
      </c>
      <c r="K52" s="36"/>
      <c r="L52" s="36">
        <f>IF(B52="",L39,B52)</f>
        <v>0</v>
      </c>
    </row>
    <row r="53" spans="1:12">
      <c r="A53" s="36"/>
      <c r="B53" s="46"/>
      <c r="C53" s="56"/>
      <c r="D53" s="43"/>
      <c r="E53" s="39"/>
      <c r="F53" s="37"/>
      <c r="G53" s="36"/>
      <c r="H53" s="39"/>
      <c r="I53" s="38"/>
      <c r="J53" s="36"/>
      <c r="K53" s="36"/>
      <c r="L53" s="36"/>
    </row>
    <row r="54" spans="1:12">
      <c r="A54" s="36"/>
      <c r="B54" s="46"/>
      <c r="C54" s="54"/>
      <c r="D54" s="33"/>
      <c r="E54" s="39"/>
      <c r="F54" s="37"/>
      <c r="G54" s="36"/>
      <c r="H54" s="39"/>
      <c r="I54" s="38"/>
      <c r="J54" s="36"/>
      <c r="K54" s="36"/>
      <c r="L54" s="36"/>
    </row>
    <row r="55" spans="1:12">
      <c r="A55" s="20">
        <f t="shared" si="0"/>
        <v>53</v>
      </c>
      <c r="B55" s="46"/>
      <c r="C55" s="53"/>
      <c r="D55" s="63"/>
      <c r="E55" s="39"/>
      <c r="F55" s="37"/>
      <c r="G55" s="36"/>
      <c r="H55" s="39"/>
      <c r="I55" s="38"/>
      <c r="J55" s="36"/>
      <c r="K55" s="36"/>
      <c r="L55" s="10"/>
    </row>
    <row r="56" spans="1:12">
      <c r="A56" s="20">
        <f t="shared" si="0"/>
        <v>54</v>
      </c>
      <c r="B56" s="46"/>
      <c r="C56" s="46"/>
      <c r="D56" s="62"/>
      <c r="E56" s="39"/>
      <c r="F56" s="37"/>
      <c r="G56" s="36"/>
      <c r="H56" s="39"/>
      <c r="I56" s="38"/>
      <c r="J56" s="36"/>
      <c r="K56" s="10"/>
      <c r="L56" s="10"/>
    </row>
    <row r="57" spans="1:12" ht="12.75" customHeight="1">
      <c r="A57" s="20">
        <f t="shared" si="0"/>
        <v>55</v>
      </c>
      <c r="B57" s="46"/>
      <c r="C57" s="46"/>
      <c r="D57" s="61"/>
      <c r="E57" s="10"/>
      <c r="F57" s="10"/>
      <c r="G57" s="10"/>
      <c r="H57" s="10"/>
      <c r="I57" s="19"/>
      <c r="J57" s="10"/>
      <c r="K57" s="10"/>
      <c r="L57" s="10"/>
    </row>
    <row r="58" spans="1:12" ht="12.75" customHeight="1">
      <c r="A58" s="20">
        <f t="shared" si="0"/>
        <v>56</v>
      </c>
      <c r="B58" s="46"/>
      <c r="C58" s="46"/>
      <c r="D58" s="62"/>
      <c r="E58" s="10"/>
      <c r="F58" s="10"/>
      <c r="G58" s="10"/>
      <c r="H58" s="10"/>
      <c r="I58" s="19"/>
      <c r="J58" s="10"/>
      <c r="K58" s="10"/>
      <c r="L58" s="10"/>
    </row>
    <row r="59" spans="1:12">
      <c r="A59" s="20">
        <f t="shared" si="0"/>
        <v>57</v>
      </c>
      <c r="B59" s="46"/>
      <c r="C59" s="46"/>
      <c r="D59" s="55"/>
      <c r="E59" s="41"/>
      <c r="F59" s="37"/>
      <c r="G59" s="41"/>
      <c r="H59" s="44"/>
      <c r="I59" s="42"/>
      <c r="J59" s="10"/>
      <c r="K59" s="10"/>
      <c r="L59" s="41"/>
    </row>
    <row r="60" spans="1:12">
      <c r="A60" s="20">
        <f t="shared" si="0"/>
        <v>58</v>
      </c>
      <c r="B60" s="46"/>
      <c r="C60" s="46"/>
      <c r="D60" s="56"/>
      <c r="E60" s="41"/>
      <c r="F60" s="37"/>
      <c r="G60" s="41"/>
      <c r="H60" s="44"/>
      <c r="I60" s="42"/>
      <c r="J60" s="10"/>
      <c r="K60" s="10"/>
      <c r="L60" s="41"/>
    </row>
    <row r="61" spans="1:12">
      <c r="A61" s="20">
        <f t="shared" si="0"/>
        <v>59</v>
      </c>
      <c r="B61" s="46"/>
      <c r="C61" s="46"/>
      <c r="D61" s="56"/>
      <c r="E61" s="41"/>
      <c r="F61" s="37"/>
      <c r="G61" s="41"/>
      <c r="H61" s="44"/>
      <c r="I61" s="42"/>
      <c r="J61" s="10"/>
      <c r="K61" s="10"/>
      <c r="L61" s="41"/>
    </row>
    <row r="62" spans="1:12">
      <c r="A62" s="20">
        <f t="shared" si="0"/>
        <v>60</v>
      </c>
      <c r="B62" s="46"/>
      <c r="C62" s="46"/>
      <c r="D62" s="56"/>
      <c r="E62" s="41"/>
      <c r="F62" s="37"/>
      <c r="G62" s="41"/>
      <c r="H62" s="44"/>
      <c r="I62" s="42"/>
      <c r="J62" s="10"/>
      <c r="K62" s="10"/>
      <c r="L62" s="41"/>
    </row>
    <row r="63" spans="1:12">
      <c r="A63" s="20">
        <f t="shared" si="0"/>
        <v>61</v>
      </c>
      <c r="B63" s="46"/>
      <c r="C63" s="46"/>
      <c r="D63" s="56"/>
      <c r="E63" s="41"/>
      <c r="F63" s="37"/>
      <c r="G63" s="41"/>
      <c r="H63" s="44"/>
      <c r="I63" s="42"/>
      <c r="J63" s="10"/>
      <c r="K63" s="10"/>
      <c r="L63" s="41"/>
    </row>
    <row r="64" spans="1:12">
      <c r="A64" s="20">
        <f t="shared" si="0"/>
        <v>62</v>
      </c>
      <c r="B64" s="46"/>
      <c r="C64" s="46"/>
      <c r="D64" s="54"/>
      <c r="E64" s="41"/>
      <c r="F64" s="37"/>
      <c r="G64" s="41"/>
      <c r="H64" s="44"/>
      <c r="I64" s="42"/>
      <c r="J64" s="10"/>
      <c r="K64" s="10"/>
      <c r="L64" s="41"/>
    </row>
    <row r="65" spans="5:11" ht="12.75" customHeight="1">
      <c r="E65" s="23"/>
      <c r="F65" s="23"/>
      <c r="G65" s="23"/>
      <c r="H65" s="23"/>
      <c r="I65" s="24"/>
      <c r="J65" s="23"/>
      <c r="K65" s="23"/>
    </row>
  </sheetData>
  <mergeCells count="36">
    <mergeCell ref="F3:F4"/>
    <mergeCell ref="G3:G4"/>
    <mergeCell ref="E5:E6"/>
    <mergeCell ref="F5:F6"/>
    <mergeCell ref="G5:G6"/>
    <mergeCell ref="E3:E4"/>
    <mergeCell ref="H3:H4"/>
    <mergeCell ref="I5:I6"/>
    <mergeCell ref="J5:J6"/>
    <mergeCell ref="K5:K6"/>
    <mergeCell ref="I3:I4"/>
    <mergeCell ref="J3:J4"/>
    <mergeCell ref="K3:K4"/>
    <mergeCell ref="H5:H6"/>
    <mergeCell ref="B16:B64"/>
    <mergeCell ref="C55:C64"/>
    <mergeCell ref="D16:D23"/>
    <mergeCell ref="D24:D28"/>
    <mergeCell ref="D59:D64"/>
    <mergeCell ref="D44:D49"/>
    <mergeCell ref="D57:D58"/>
    <mergeCell ref="D55:D56"/>
    <mergeCell ref="D36:D42"/>
    <mergeCell ref="C52:C54"/>
    <mergeCell ref="C16:C51"/>
    <mergeCell ref="D50:D51"/>
    <mergeCell ref="D29:D35"/>
    <mergeCell ref="B8:B15"/>
    <mergeCell ref="B2:B7"/>
    <mergeCell ref="C3:C7"/>
    <mergeCell ref="D3:D4"/>
    <mergeCell ref="D5:D6"/>
    <mergeCell ref="C8:C15"/>
    <mergeCell ref="D11:D12"/>
    <mergeCell ref="D8:D10"/>
    <mergeCell ref="D13:D15"/>
  </mergeCells>
  <phoneticPr fontId="7" type="noConversion"/>
  <conditionalFormatting sqref="A1:G1">
    <cfRule type="containsBlanks" dxfId="93" priority="127">
      <formula>LEN(TRIM(A1))=0</formula>
    </cfRule>
    <cfRule type="containsText" dxfId="92" priority="130" operator="containsText" text="Pass">
      <formula>NOT(ISERROR(SEARCH(("Pass"),(A1))))</formula>
    </cfRule>
    <cfRule type="containsText" dxfId="91" priority="134" operator="containsText" text="Fail">
      <formula>NOT(ISERROR(SEARCH(("Fail"),(A1))))</formula>
    </cfRule>
    <cfRule type="containsText" dxfId="90" priority="138" operator="containsText" text="Block">
      <formula>NOT(ISERROR(SEARCH(("Block"),(A1))))</formula>
    </cfRule>
    <cfRule type="containsText" dxfId="89" priority="142" operator="containsText" text="N/A">
      <formula>NOT(ISERROR(SEARCH(("N/A"),(A1))))</formula>
    </cfRule>
    <cfRule type="containsText" dxfId="88" priority="146" operator="containsText" text="N/T">
      <formula>NOT(ISERROR(SEARCH(("N/T"),(A1))))</formula>
    </cfRule>
  </conditionalFormatting>
  <conditionalFormatting sqref="I1">
    <cfRule type="containsText" dxfId="87" priority="133" operator="containsText" text="Pass">
      <formula>NOT(ISERROR(SEARCH(("Pass"),(I1))))</formula>
    </cfRule>
    <cfRule type="containsText" dxfId="86" priority="137" operator="containsText" text="Fail">
      <formula>NOT(ISERROR(SEARCH(("Fail"),(I1))))</formula>
    </cfRule>
    <cfRule type="containsText" dxfId="85" priority="141" operator="containsText" text="Block">
      <formula>NOT(ISERROR(SEARCH(("Block"),(I1))))</formula>
    </cfRule>
    <cfRule type="containsText" dxfId="84" priority="145" operator="containsText" text="N/A">
      <formula>NOT(ISERROR(SEARCH(("N/A"),(I1))))</formula>
    </cfRule>
  </conditionalFormatting>
  <conditionalFormatting sqref="I1:I3 I5 I57:I58 I7:I14 I36:I43">
    <cfRule type="containsBlanks" dxfId="83" priority="128">
      <formula>LEN(TRIM(I1))=0</formula>
    </cfRule>
    <cfRule type="containsText" dxfId="82" priority="147" operator="containsText" text="N/T">
      <formula>NOT(ISERROR(SEARCH(("N/T"),(I1))))</formula>
    </cfRule>
  </conditionalFormatting>
  <conditionalFormatting sqref="I2:I3 I5 I57:I58 I7:I14 I36:I43">
    <cfRule type="containsText" dxfId="81" priority="131" operator="containsText" text="Pass">
      <formula>NOT(ISERROR(SEARCH(("Pass"),(I2))))</formula>
    </cfRule>
    <cfRule type="containsText" dxfId="80" priority="135" operator="containsText" text="Fail">
      <formula>NOT(ISERROR(SEARCH(("Fail"),(I2))))</formula>
    </cfRule>
    <cfRule type="containsText" dxfId="79" priority="139" operator="containsText" text="Block">
      <formula>NOT(ISERROR(SEARCH(("Block"),(I2))))</formula>
    </cfRule>
    <cfRule type="containsText" dxfId="78" priority="143" operator="containsText" text="N/A">
      <formula>NOT(ISERROR(SEARCH(("N/A"),(I2))))</formula>
    </cfRule>
  </conditionalFormatting>
  <conditionalFormatting sqref="J1:L1">
    <cfRule type="containsBlanks" dxfId="77" priority="129">
      <formula>LEN(TRIM(J1))=0</formula>
    </cfRule>
    <cfRule type="containsText" dxfId="76" priority="132" operator="containsText" text="Pass">
      <formula>NOT(ISERROR(SEARCH(("Pass"),(J1))))</formula>
    </cfRule>
    <cfRule type="containsText" dxfId="75" priority="136" operator="containsText" text="Fail">
      <formula>NOT(ISERROR(SEARCH(("Fail"),(J1))))</formula>
    </cfRule>
    <cfRule type="containsText" dxfId="74" priority="140" operator="containsText" text="Block">
      <formula>NOT(ISERROR(SEARCH(("Block"),(J1))))</formula>
    </cfRule>
    <cfRule type="containsText" dxfId="73" priority="144" operator="containsText" text="N/A">
      <formula>NOT(ISERROR(SEARCH(("N/A"),(J1))))</formula>
    </cfRule>
    <cfRule type="containsText" dxfId="72" priority="148" operator="containsText" text="N/T">
      <formula>NOT(ISERROR(SEARCH(("N/T"),(J1))))</formula>
    </cfRule>
  </conditionalFormatting>
  <conditionalFormatting sqref="I16:I28">
    <cfRule type="containsBlanks" dxfId="71" priority="85">
      <formula>LEN(TRIM(I16))=0</formula>
    </cfRule>
    <cfRule type="containsText" dxfId="70" priority="90" operator="containsText" text="N/T">
      <formula>NOT(ISERROR(SEARCH(("N/T"),(I16))))</formula>
    </cfRule>
  </conditionalFormatting>
  <conditionalFormatting sqref="I16:I28">
    <cfRule type="containsText" dxfId="69" priority="86" operator="containsText" text="Pass">
      <formula>NOT(ISERROR(SEARCH(("Pass"),(I16))))</formula>
    </cfRule>
    <cfRule type="containsText" dxfId="68" priority="87" operator="containsText" text="Fail">
      <formula>NOT(ISERROR(SEARCH(("Fail"),(I16))))</formula>
    </cfRule>
    <cfRule type="containsText" dxfId="67" priority="88" operator="containsText" text="Block">
      <formula>NOT(ISERROR(SEARCH(("Block"),(I16))))</formula>
    </cfRule>
    <cfRule type="containsText" dxfId="66" priority="89" operator="containsText" text="N/A">
      <formula>NOT(ISERROR(SEARCH(("N/A"),(I16))))</formula>
    </cfRule>
  </conditionalFormatting>
  <conditionalFormatting sqref="I56">
    <cfRule type="containsBlanks" dxfId="65" priority="67">
      <formula>LEN(TRIM(I56))=0</formula>
    </cfRule>
    <cfRule type="containsText" dxfId="64" priority="72" operator="containsText" text="N/T">
      <formula>NOT(ISERROR(SEARCH(("N/T"),(I56))))</formula>
    </cfRule>
  </conditionalFormatting>
  <conditionalFormatting sqref="I56">
    <cfRule type="containsText" dxfId="63" priority="68" operator="containsText" text="Pass">
      <formula>NOT(ISERROR(SEARCH(("Pass"),(I56))))</formula>
    </cfRule>
    <cfRule type="containsText" dxfId="62" priority="69" operator="containsText" text="Fail">
      <formula>NOT(ISERROR(SEARCH(("Fail"),(I56))))</formula>
    </cfRule>
    <cfRule type="containsText" dxfId="61" priority="70" operator="containsText" text="Block">
      <formula>NOT(ISERROR(SEARCH(("Block"),(I56))))</formula>
    </cfRule>
    <cfRule type="containsText" dxfId="60" priority="71" operator="containsText" text="N/A">
      <formula>NOT(ISERROR(SEARCH(("N/A"),(I56))))</formula>
    </cfRule>
  </conditionalFormatting>
  <conditionalFormatting sqref="I55">
    <cfRule type="containsBlanks" dxfId="59" priority="61">
      <formula>LEN(TRIM(I55))=0</formula>
    </cfRule>
    <cfRule type="containsText" dxfId="58" priority="66" operator="containsText" text="N/T">
      <formula>NOT(ISERROR(SEARCH(("N/T"),(I55))))</formula>
    </cfRule>
  </conditionalFormatting>
  <conditionalFormatting sqref="I55">
    <cfRule type="containsText" dxfId="57" priority="62" operator="containsText" text="Pass">
      <formula>NOT(ISERROR(SEARCH(("Pass"),(I55))))</formula>
    </cfRule>
    <cfRule type="containsText" dxfId="56" priority="63" operator="containsText" text="Fail">
      <formula>NOT(ISERROR(SEARCH(("Fail"),(I55))))</formula>
    </cfRule>
    <cfRule type="containsText" dxfId="55" priority="64" operator="containsText" text="Block">
      <formula>NOT(ISERROR(SEARCH(("Block"),(I55))))</formula>
    </cfRule>
    <cfRule type="containsText" dxfId="54" priority="65" operator="containsText" text="N/A">
      <formula>NOT(ISERROR(SEARCH(("N/A"),(I55))))</formula>
    </cfRule>
  </conditionalFormatting>
  <conditionalFormatting sqref="I52:I53">
    <cfRule type="containsBlanks" dxfId="53" priority="55">
      <formula>LEN(TRIM(I52))=0</formula>
    </cfRule>
    <cfRule type="containsText" dxfId="52" priority="60" operator="containsText" text="N/T">
      <formula>NOT(ISERROR(SEARCH(("N/T"),(I52))))</formula>
    </cfRule>
  </conditionalFormatting>
  <conditionalFormatting sqref="I52:I53">
    <cfRule type="containsText" dxfId="51" priority="56" operator="containsText" text="Pass">
      <formula>NOT(ISERROR(SEARCH(("Pass"),(I52))))</formula>
    </cfRule>
    <cfRule type="containsText" dxfId="50" priority="57" operator="containsText" text="Fail">
      <formula>NOT(ISERROR(SEARCH(("Fail"),(I52))))</formula>
    </cfRule>
    <cfRule type="containsText" dxfId="49" priority="58" operator="containsText" text="Block">
      <formula>NOT(ISERROR(SEARCH(("Block"),(I52))))</formula>
    </cfRule>
    <cfRule type="containsText" dxfId="48" priority="59" operator="containsText" text="N/A">
      <formula>NOT(ISERROR(SEARCH(("N/A"),(I52))))</formula>
    </cfRule>
  </conditionalFormatting>
  <conditionalFormatting sqref="I15">
    <cfRule type="containsBlanks" dxfId="47" priority="49">
      <formula>LEN(TRIM(I15))=0</formula>
    </cfRule>
    <cfRule type="containsText" dxfId="46" priority="54" operator="containsText" text="N/T">
      <formula>NOT(ISERROR(SEARCH(("N/T"),(I15))))</formula>
    </cfRule>
  </conditionalFormatting>
  <conditionalFormatting sqref="I15">
    <cfRule type="containsText" dxfId="45" priority="50" operator="containsText" text="Pass">
      <formula>NOT(ISERROR(SEARCH(("Pass"),(I15))))</formula>
    </cfRule>
    <cfRule type="containsText" dxfId="44" priority="51" operator="containsText" text="Fail">
      <formula>NOT(ISERROR(SEARCH(("Fail"),(I15))))</formula>
    </cfRule>
    <cfRule type="containsText" dxfId="43" priority="52" operator="containsText" text="Block">
      <formula>NOT(ISERROR(SEARCH(("Block"),(I15))))</formula>
    </cfRule>
    <cfRule type="containsText" dxfId="42" priority="53" operator="containsText" text="N/A">
      <formula>NOT(ISERROR(SEARCH(("N/A"),(I15))))</formula>
    </cfRule>
  </conditionalFormatting>
  <conditionalFormatting sqref="I29:I31">
    <cfRule type="containsBlanks" dxfId="41" priority="37">
      <formula>LEN(TRIM(I29))=0</formula>
    </cfRule>
    <cfRule type="containsText" dxfId="40" priority="42" operator="containsText" text="N/T">
      <formula>NOT(ISERROR(SEARCH(("N/T"),(I29))))</formula>
    </cfRule>
  </conditionalFormatting>
  <conditionalFormatting sqref="I29:I31">
    <cfRule type="containsText" dxfId="39" priority="38" operator="containsText" text="Pass">
      <formula>NOT(ISERROR(SEARCH(("Pass"),(I29))))</formula>
    </cfRule>
    <cfRule type="containsText" dxfId="38" priority="39" operator="containsText" text="Fail">
      <formula>NOT(ISERROR(SEARCH(("Fail"),(I29))))</formula>
    </cfRule>
    <cfRule type="containsText" dxfId="37" priority="40" operator="containsText" text="Block">
      <formula>NOT(ISERROR(SEARCH(("Block"),(I29))))</formula>
    </cfRule>
    <cfRule type="containsText" dxfId="36" priority="41" operator="containsText" text="N/A">
      <formula>NOT(ISERROR(SEARCH(("N/A"),(I29))))</formula>
    </cfRule>
  </conditionalFormatting>
  <conditionalFormatting sqref="I32">
    <cfRule type="containsBlanks" dxfId="35" priority="31">
      <formula>LEN(TRIM(I32))=0</formula>
    </cfRule>
    <cfRule type="containsText" dxfId="34" priority="36" operator="containsText" text="N/T">
      <formula>NOT(ISERROR(SEARCH(("N/T"),(I32))))</formula>
    </cfRule>
  </conditionalFormatting>
  <conditionalFormatting sqref="I32">
    <cfRule type="containsText" dxfId="33" priority="32" operator="containsText" text="Pass">
      <formula>NOT(ISERROR(SEARCH(("Pass"),(I32))))</formula>
    </cfRule>
    <cfRule type="containsText" dxfId="32" priority="33" operator="containsText" text="Fail">
      <formula>NOT(ISERROR(SEARCH(("Fail"),(I32))))</formula>
    </cfRule>
    <cfRule type="containsText" dxfId="31" priority="34" operator="containsText" text="Block">
      <formula>NOT(ISERROR(SEARCH(("Block"),(I32))))</formula>
    </cfRule>
    <cfRule type="containsText" dxfId="30" priority="35" operator="containsText" text="N/A">
      <formula>NOT(ISERROR(SEARCH(("N/A"),(I32))))</formula>
    </cfRule>
  </conditionalFormatting>
  <conditionalFormatting sqref="I33:I35">
    <cfRule type="containsBlanks" dxfId="29" priority="25">
      <formula>LEN(TRIM(I33))=0</formula>
    </cfRule>
    <cfRule type="containsText" dxfId="28" priority="30" operator="containsText" text="N/T">
      <formula>NOT(ISERROR(SEARCH(("N/T"),(I33))))</formula>
    </cfRule>
  </conditionalFormatting>
  <conditionalFormatting sqref="I33:I35">
    <cfRule type="containsText" dxfId="27" priority="26" operator="containsText" text="Pass">
      <formula>NOT(ISERROR(SEARCH(("Pass"),(I33))))</formula>
    </cfRule>
    <cfRule type="containsText" dxfId="26" priority="27" operator="containsText" text="Fail">
      <formula>NOT(ISERROR(SEARCH(("Fail"),(I33))))</formula>
    </cfRule>
    <cfRule type="containsText" dxfId="25" priority="28" operator="containsText" text="Block">
      <formula>NOT(ISERROR(SEARCH(("Block"),(I33))))</formula>
    </cfRule>
    <cfRule type="containsText" dxfId="24" priority="29" operator="containsText" text="N/A">
      <formula>NOT(ISERROR(SEARCH(("N/A"),(I33))))</formula>
    </cfRule>
  </conditionalFormatting>
  <conditionalFormatting sqref="I54">
    <cfRule type="containsBlanks" dxfId="23" priority="19">
      <formula>LEN(TRIM(I54))=0</formula>
    </cfRule>
    <cfRule type="containsText" dxfId="22" priority="24" operator="containsText" text="N/T">
      <formula>NOT(ISERROR(SEARCH(("N/T"),(I54))))</formula>
    </cfRule>
  </conditionalFormatting>
  <conditionalFormatting sqref="I54">
    <cfRule type="containsText" dxfId="21" priority="20" operator="containsText" text="Pass">
      <formula>NOT(ISERROR(SEARCH(("Pass"),(I54))))</formula>
    </cfRule>
    <cfRule type="containsText" dxfId="20" priority="21" operator="containsText" text="Fail">
      <formula>NOT(ISERROR(SEARCH(("Fail"),(I54))))</formula>
    </cfRule>
    <cfRule type="containsText" dxfId="19" priority="22" operator="containsText" text="Block">
      <formula>NOT(ISERROR(SEARCH(("Block"),(I54))))</formula>
    </cfRule>
    <cfRule type="containsText" dxfId="18" priority="23" operator="containsText" text="N/A">
      <formula>NOT(ISERROR(SEARCH(("N/A"),(I54))))</formula>
    </cfRule>
  </conditionalFormatting>
  <conditionalFormatting sqref="I50:I51">
    <cfRule type="containsBlanks" dxfId="17" priority="13">
      <formula>LEN(TRIM(I50))=0</formula>
    </cfRule>
    <cfRule type="containsText" dxfId="16" priority="18" operator="containsText" text="N/T">
      <formula>NOT(ISERROR(SEARCH(("N/T"),(I50))))</formula>
    </cfRule>
  </conditionalFormatting>
  <conditionalFormatting sqref="I50:I51">
    <cfRule type="containsText" dxfId="15" priority="14" operator="containsText" text="Pass">
      <formula>NOT(ISERROR(SEARCH(("Pass"),(I50))))</formula>
    </cfRule>
    <cfRule type="containsText" dxfId="14" priority="15" operator="containsText" text="Fail">
      <formula>NOT(ISERROR(SEARCH(("Fail"),(I50))))</formula>
    </cfRule>
    <cfRule type="containsText" dxfId="13" priority="16" operator="containsText" text="Block">
      <formula>NOT(ISERROR(SEARCH(("Block"),(I50))))</formula>
    </cfRule>
    <cfRule type="containsText" dxfId="12" priority="17" operator="containsText" text="N/A">
      <formula>NOT(ISERROR(SEARCH(("N/A"),(I50))))</formula>
    </cfRule>
  </conditionalFormatting>
  <conditionalFormatting sqref="I59:I64">
    <cfRule type="containsBlanks" dxfId="11" priority="7">
      <formula>LEN(TRIM(I59))=0</formula>
    </cfRule>
    <cfRule type="containsText" dxfId="10" priority="12" operator="containsText" text="N/T">
      <formula>NOT(ISERROR(SEARCH(("N/T"),(I59))))</formula>
    </cfRule>
  </conditionalFormatting>
  <conditionalFormatting sqref="I59:I64">
    <cfRule type="containsText" dxfId="9" priority="8" operator="containsText" text="Pass">
      <formula>NOT(ISERROR(SEARCH(("Pass"),(I59))))</formula>
    </cfRule>
    <cfRule type="containsText" dxfId="8" priority="9" operator="containsText" text="Fail">
      <formula>NOT(ISERROR(SEARCH(("Fail"),(I59))))</formula>
    </cfRule>
    <cfRule type="containsText" dxfId="7" priority="10" operator="containsText" text="Block">
      <formula>NOT(ISERROR(SEARCH(("Block"),(I59))))</formula>
    </cfRule>
    <cfRule type="containsText" dxfId="6" priority="11" operator="containsText" text="N/A">
      <formula>NOT(ISERROR(SEARCH(("N/A"),(I59))))</formula>
    </cfRule>
  </conditionalFormatting>
  <conditionalFormatting sqref="I44:I49">
    <cfRule type="containsBlanks" dxfId="5" priority="1">
      <formula>LEN(TRIM(I44))=0</formula>
    </cfRule>
    <cfRule type="containsText" dxfId="4" priority="6" operator="containsText" text="N/T">
      <formula>NOT(ISERROR(SEARCH(("N/T"),(I44))))</formula>
    </cfRule>
  </conditionalFormatting>
  <conditionalFormatting sqref="I44:I49">
    <cfRule type="containsText" dxfId="3" priority="2" operator="containsText" text="Pass">
      <formula>NOT(ISERROR(SEARCH(("Pass"),(I44))))</formula>
    </cfRule>
    <cfRule type="containsText" dxfId="2" priority="3" operator="containsText" text="Fail">
      <formula>NOT(ISERROR(SEARCH(("Fail"),(I44))))</formula>
    </cfRule>
    <cfRule type="containsText" dxfId="1" priority="4" operator="containsText" text="Block">
      <formula>NOT(ISERROR(SEARCH(("Block"),(I44))))</formula>
    </cfRule>
    <cfRule type="containsText" dxfId="0" priority="5" operator="containsText" text="N/A">
      <formula>NOT(ISERROR(SEARCH(("N/A"),(I44))))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J7"/>
  <sheetViews>
    <sheetView zoomScale="175" zoomScaleNormal="175" workbookViewId="0">
      <selection activeCell="D32" sqref="D32"/>
    </sheetView>
  </sheetViews>
  <sheetFormatPr defaultColWidth="12.5703125" defaultRowHeight="12.75" customHeight="1"/>
  <cols>
    <col min="1" max="1" width="23.5703125" customWidth="1"/>
    <col min="2" max="2" width="6.42578125" customWidth="1"/>
    <col min="3" max="3" width="15.7109375" customWidth="1"/>
    <col min="4" max="9" width="8.7109375" bestFit="1" customWidth="1"/>
    <col min="10" max="10" width="9.7109375" bestFit="1" customWidth="1"/>
  </cols>
  <sheetData>
    <row r="1" spans="1:10" ht="12.75" customHeight="1">
      <c r="A1" s="1" t="s">
        <v>26</v>
      </c>
    </row>
    <row r="2" spans="1:10" ht="12.75" customHeight="1">
      <c r="A2" s="2" t="s">
        <v>21</v>
      </c>
      <c r="B2" s="2" t="s">
        <v>22</v>
      </c>
      <c r="C2" s="2" t="s">
        <v>23</v>
      </c>
      <c r="D2" s="2" t="s">
        <v>13</v>
      </c>
      <c r="E2" s="2" t="s">
        <v>15</v>
      </c>
      <c r="F2" s="2" t="s">
        <v>17</v>
      </c>
      <c r="G2" s="2" t="s">
        <v>16</v>
      </c>
      <c r="H2" s="2" t="s">
        <v>18</v>
      </c>
      <c r="I2" s="2" t="s">
        <v>24</v>
      </c>
      <c r="J2" s="2" t="s">
        <v>25</v>
      </c>
    </row>
    <row r="3" spans="1:10" ht="12.75" customHeight="1">
      <c r="A3" s="3" t="s">
        <v>11</v>
      </c>
      <c r="B3" s="4">
        <f>COUNTIF(TestCase!L:L,A3)</f>
        <v>0</v>
      </c>
      <c r="C3" s="5">
        <f t="shared" ref="C3:C5" si="0">IFERROR(B3/$B$6,0)</f>
        <v>0</v>
      </c>
      <c r="D3" s="4">
        <f>COUNTIFS(TestCase!$I:$I,"*"&amp;D$2&amp;"*",TestCase!$L:$L,$A3)</f>
        <v>0</v>
      </c>
      <c r="E3" s="4">
        <f>COUNTIFS(TestCase!$I:$I,"*"&amp;E$2&amp;"*",TestCase!$L:$L,$A3)</f>
        <v>0</v>
      </c>
      <c r="F3" s="4">
        <f>COUNTIFS(TestCase!$I:$I,"*"&amp;F$2&amp;"*",TestCase!$L:$L,$A3)</f>
        <v>0</v>
      </c>
      <c r="G3" s="4">
        <f>COUNTIFS(TestCase!$I:$I,"*"&amp;G$2&amp;"*",TestCase!$L:$L,$A3)</f>
        <v>0</v>
      </c>
      <c r="H3" s="4">
        <f>COUNTIFS(TestCase!$I:$I,"*"&amp;H$2&amp;"*",TestCase!$L:$L,$A3)</f>
        <v>0</v>
      </c>
      <c r="I3" s="4">
        <f>COUNTIFS(TestCase!$I:$I,"*"&amp;I$2&amp;"*",TestCase!$L:$L,$A3)</f>
        <v>0</v>
      </c>
      <c r="J3" s="7" t="e">
        <f>I3/B3</f>
        <v>#DIV/0!</v>
      </c>
    </row>
    <row r="4" spans="1:10" ht="12.75" customHeight="1">
      <c r="A4" s="3" t="s">
        <v>19</v>
      </c>
      <c r="B4" s="4">
        <f>COUNTIF(TestCase!L:L,A4)</f>
        <v>8</v>
      </c>
      <c r="C4" s="5">
        <f t="shared" si="0"/>
        <v>0.38095238095238093</v>
      </c>
      <c r="D4" s="4">
        <f>COUNTIFS(TestCase!$I:$I,"*"&amp;D$2&amp;"*",TestCase!$L:$L,$A4)</f>
        <v>7</v>
      </c>
      <c r="E4" s="4">
        <f>COUNTIFS(TestCase!$I:$I,"*"&amp;E$2&amp;"*",TestCase!$L:$L,$A4)</f>
        <v>1</v>
      </c>
      <c r="F4" s="4">
        <f>COUNTIFS(TestCase!$I:$I,"*"&amp;F$2&amp;"*",TestCase!$L:$L,$A4)</f>
        <v>0</v>
      </c>
      <c r="G4" s="4">
        <f>COUNTIFS(TestCase!$I:$I,"*"&amp;G$2&amp;"*",TestCase!$L:$L,$A4)</f>
        <v>0</v>
      </c>
      <c r="H4" s="4">
        <f>COUNTIFS(TestCase!$I:$I,"*"&amp;H$2&amp;"*",TestCase!$L:$L,$A4)</f>
        <v>0</v>
      </c>
      <c r="I4" s="6">
        <f t="shared" ref="I4:I5" si="1">SUM(D4:H4)</f>
        <v>8</v>
      </c>
      <c r="J4" s="7">
        <f t="shared" ref="J4:J5" si="2">I4/B4</f>
        <v>1</v>
      </c>
    </row>
    <row r="5" spans="1:10" ht="12.75" customHeight="1">
      <c r="A5" s="3" t="s">
        <v>20</v>
      </c>
      <c r="B5" s="4">
        <f>COUNTIF(TestCase!L:L,A5)</f>
        <v>13</v>
      </c>
      <c r="C5" s="5">
        <f t="shared" si="0"/>
        <v>0.61904761904761907</v>
      </c>
      <c r="D5" s="4">
        <f>COUNTIFS(TestCase!$I:$I,"*"&amp;D$2&amp;"*",TestCase!$L:$L,$A5)</f>
        <v>11</v>
      </c>
      <c r="E5" s="4">
        <f>COUNTIFS(TestCase!$I:$I,"*"&amp;E$2&amp;"*",TestCase!$L:$L,$A5)</f>
        <v>2</v>
      </c>
      <c r="F5" s="4">
        <f>COUNTIFS(TestCase!$I:$I,"*"&amp;F$2&amp;"*",TestCase!$L:$L,$A5)</f>
        <v>0</v>
      </c>
      <c r="G5" s="4">
        <f>COUNTIFS(TestCase!$I:$I,"*"&amp;G$2&amp;"*",TestCase!$L:$L,$A5)</f>
        <v>0</v>
      </c>
      <c r="H5" s="4">
        <f>COUNTIFS(TestCase!$I:$I,"*"&amp;H$2&amp;"*",TestCase!$L:$L,$A5)</f>
        <v>0</v>
      </c>
      <c r="I5" s="6">
        <f t="shared" si="1"/>
        <v>13</v>
      </c>
      <c r="J5" s="7">
        <f t="shared" si="2"/>
        <v>1</v>
      </c>
    </row>
    <row r="6" spans="1:10" ht="12.75" customHeight="1">
      <c r="A6" s="8" t="s">
        <v>24</v>
      </c>
      <c r="B6" s="8">
        <f t="shared" ref="B6:H6" si="3">SUM(B3:B5)</f>
        <v>21</v>
      </c>
      <c r="C6" s="9">
        <f>SUM(C3:C5)</f>
        <v>1</v>
      </c>
      <c r="D6" s="6">
        <f t="shared" si="3"/>
        <v>18</v>
      </c>
      <c r="E6" s="6">
        <f t="shared" si="3"/>
        <v>3</v>
      </c>
      <c r="F6" s="6">
        <f t="shared" si="3"/>
        <v>0</v>
      </c>
      <c r="G6" s="6">
        <f t="shared" si="3"/>
        <v>0</v>
      </c>
      <c r="H6" s="6">
        <f t="shared" si="3"/>
        <v>0</v>
      </c>
      <c r="I6" s="6">
        <f>SUM(I3:I5)</f>
        <v>21</v>
      </c>
      <c r="J6" s="6"/>
    </row>
    <row r="7" spans="1:10" ht="12.75" customHeight="1">
      <c r="A7" s="8" t="s">
        <v>25</v>
      </c>
      <c r="B7" s="8"/>
      <c r="C7" s="8"/>
      <c r="D7" s="7">
        <f t="shared" ref="D7:I7" si="4">D6/$B6</f>
        <v>0.8571428571428571</v>
      </c>
      <c r="E7" s="7">
        <f t="shared" si="4"/>
        <v>0.14285714285714285</v>
      </c>
      <c r="F7" s="7">
        <f t="shared" si="4"/>
        <v>0</v>
      </c>
      <c r="G7" s="7">
        <f t="shared" si="4"/>
        <v>0</v>
      </c>
      <c r="H7" s="7">
        <f t="shared" si="4"/>
        <v>0</v>
      </c>
      <c r="I7" s="7">
        <f t="shared" si="4"/>
        <v>1</v>
      </c>
      <c r="J7" s="6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TestCase</vt:lpstr>
      <vt:lpstr>TC MAP</vt:lpstr>
      <vt:lpstr>TestCase!머릿글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허준</dc:creator>
  <cp:lastModifiedBy>102-31</cp:lastModifiedBy>
  <dcterms:created xsi:type="dcterms:W3CDTF">2025-09-15T15:28:01Z</dcterms:created>
  <dcterms:modified xsi:type="dcterms:W3CDTF">2025-10-27T05:10:23Z</dcterms:modified>
</cp:coreProperties>
</file>