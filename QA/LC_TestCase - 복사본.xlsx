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 codeName="{4D1C537B-E38A-612A-F078-A93A15B4B7F4}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전체\학교 과제\2-2학기\LC QA 문서\"/>
    </mc:Choice>
  </mc:AlternateContent>
  <xr:revisionPtr revIDLastSave="0" documentId="13_ncr:1_{639D8F3A-DB61-4A58-92BF-75AE0BDB95A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estCase" sheetId="1" r:id="rId1"/>
    <sheet name="TC MAP" sheetId="2" r:id="rId2"/>
    <sheet name="1" sheetId="3" r:id="rId3"/>
    <sheet name="2" sheetId="105" r:id="rId4"/>
    <sheet name="3" sheetId="106" r:id="rId5"/>
    <sheet name="4" sheetId="107" r:id="rId6"/>
    <sheet name="5" sheetId="108" r:id="rId7"/>
    <sheet name="6" sheetId="109" r:id="rId8"/>
    <sheet name="7" sheetId="110" r:id="rId9"/>
    <sheet name="8" sheetId="111" r:id="rId10"/>
    <sheet name="9" sheetId="112" r:id="rId11"/>
    <sheet name="10" sheetId="113" r:id="rId12"/>
    <sheet name="11" sheetId="114" r:id="rId13"/>
    <sheet name="12" sheetId="115" r:id="rId14"/>
    <sheet name="13" sheetId="116" r:id="rId15"/>
    <sheet name="14" sheetId="117" r:id="rId16"/>
    <sheet name="15" sheetId="118" r:id="rId17"/>
    <sheet name="16" sheetId="119" r:id="rId18"/>
    <sheet name="17" sheetId="120" r:id="rId19"/>
    <sheet name="18" sheetId="121" r:id="rId20"/>
    <sheet name="19" sheetId="122" r:id="rId21"/>
    <sheet name="20" sheetId="123" r:id="rId22"/>
    <sheet name="21" sheetId="124" r:id="rId23"/>
    <sheet name="22" sheetId="125" r:id="rId24"/>
    <sheet name="23" sheetId="126" r:id="rId25"/>
    <sheet name="24" sheetId="127" r:id="rId26"/>
    <sheet name="25" sheetId="128" r:id="rId27"/>
    <sheet name="26" sheetId="129" r:id="rId28"/>
    <sheet name="27" sheetId="130" r:id="rId29"/>
    <sheet name="28" sheetId="131" r:id="rId30"/>
    <sheet name="29" sheetId="132" r:id="rId31"/>
    <sheet name="30" sheetId="133" r:id="rId32"/>
    <sheet name="31" sheetId="134" r:id="rId33"/>
    <sheet name="32" sheetId="135" r:id="rId34"/>
    <sheet name="33" sheetId="136" r:id="rId35"/>
    <sheet name="34" sheetId="137" r:id="rId36"/>
    <sheet name="35" sheetId="138" r:id="rId37"/>
    <sheet name="36" sheetId="139" r:id="rId38"/>
    <sheet name="37" sheetId="140" r:id="rId39"/>
    <sheet name="38" sheetId="141" r:id="rId40"/>
    <sheet name="39" sheetId="142" r:id="rId41"/>
    <sheet name="40" sheetId="143" r:id="rId42"/>
    <sheet name="41" sheetId="144" r:id="rId43"/>
    <sheet name="42" sheetId="145" r:id="rId44"/>
    <sheet name="43" sheetId="146" r:id="rId45"/>
    <sheet name="44" sheetId="147" r:id="rId46"/>
    <sheet name="45" sheetId="148" r:id="rId47"/>
    <sheet name="46" sheetId="149" r:id="rId48"/>
    <sheet name="47" sheetId="150" r:id="rId49"/>
    <sheet name="48" sheetId="151" r:id="rId50"/>
    <sheet name="49" sheetId="152" r:id="rId51"/>
    <sheet name="50" sheetId="153" r:id="rId52"/>
    <sheet name="51" sheetId="154" r:id="rId53"/>
    <sheet name="52" sheetId="155" r:id="rId54"/>
    <sheet name="53" sheetId="156" r:id="rId55"/>
    <sheet name="54" sheetId="157" r:id="rId56"/>
    <sheet name="55" sheetId="158" r:id="rId57"/>
    <sheet name="56" sheetId="159" r:id="rId58"/>
    <sheet name="57" sheetId="160" r:id="rId59"/>
    <sheet name="58" sheetId="161" r:id="rId60"/>
    <sheet name="59" sheetId="162" r:id="rId61"/>
    <sheet name="60" sheetId="163" r:id="rId6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" i="163" l="1" a="1"/>
  <c r="K1" i="163" s="1"/>
  <c r="C3" i="163" s="1" a="1"/>
  <c r="C3" i="163" s="1"/>
  <c r="K1" i="162" a="1"/>
  <c r="K1" i="162" s="1"/>
  <c r="C3" i="162" s="1" a="1"/>
  <c r="C3" i="162" s="1"/>
  <c r="K1" i="161" a="1"/>
  <c r="K1" i="161" s="1"/>
  <c r="C3" i="161" s="1" a="1"/>
  <c r="C3" i="161" s="1"/>
  <c r="K1" i="160" a="1"/>
  <c r="K1" i="160" s="1"/>
  <c r="C3" i="160" s="1" a="1"/>
  <c r="C3" i="160" s="1"/>
  <c r="K1" i="159" a="1"/>
  <c r="K1" i="159" s="1"/>
  <c r="C3" i="159" s="1" a="1"/>
  <c r="C3" i="159" s="1"/>
  <c r="K1" i="158" a="1"/>
  <c r="K1" i="158" s="1"/>
  <c r="C3" i="158" s="1" a="1"/>
  <c r="C3" i="158" s="1"/>
  <c r="K1" i="157" a="1"/>
  <c r="K1" i="157" s="1"/>
  <c r="C3" i="157" s="1" a="1"/>
  <c r="C3" i="157" s="1"/>
  <c r="K1" i="156" a="1"/>
  <c r="K1" i="156" s="1"/>
  <c r="C3" i="156" s="1" a="1"/>
  <c r="C3" i="156" s="1"/>
  <c r="K1" i="155" a="1"/>
  <c r="K1" i="155" s="1"/>
  <c r="C3" i="155" s="1" a="1"/>
  <c r="C3" i="155" s="1"/>
  <c r="K1" i="154" a="1"/>
  <c r="K1" i="154" s="1"/>
  <c r="C3" i="154" s="1" a="1"/>
  <c r="C3" i="154" s="1"/>
  <c r="A44" i="1"/>
  <c r="A43" i="1"/>
  <c r="A42" i="1"/>
  <c r="A41" i="1"/>
  <c r="L45" i="1"/>
  <c r="L41" i="1"/>
  <c r="L42" i="1" s="1"/>
  <c r="L43" i="1" s="1"/>
  <c r="L44" i="1" s="1"/>
  <c r="A54" i="1"/>
  <c r="A50" i="1"/>
  <c r="A49" i="1"/>
  <c r="A48" i="1"/>
  <c r="A47" i="1"/>
  <c r="A46" i="1"/>
  <c r="A45" i="1"/>
  <c r="A62" i="1" l="1"/>
  <c r="A61" i="1"/>
  <c r="A60" i="1"/>
  <c r="A59" i="1"/>
  <c r="A58" i="1"/>
  <c r="A57" i="1"/>
  <c r="A56" i="1"/>
  <c r="A55" i="1"/>
  <c r="A53" i="1"/>
  <c r="A52" i="1"/>
  <c r="A5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K1" i="153" a="1"/>
  <c r="K1" i="153" s="1"/>
  <c r="C3" i="153" s="1" a="1"/>
  <c r="C3" i="153" s="1"/>
  <c r="K1" i="152" a="1"/>
  <c r="K1" i="152" s="1"/>
  <c r="C3" i="152" s="1" a="1"/>
  <c r="C3" i="152" s="1"/>
  <c r="K1" i="151" a="1"/>
  <c r="K1" i="151" s="1"/>
  <c r="C3" i="151" s="1" a="1"/>
  <c r="C3" i="151" s="1"/>
  <c r="K1" i="150" a="1"/>
  <c r="K1" i="150" s="1"/>
  <c r="C3" i="150" s="1" a="1"/>
  <c r="C3" i="150" s="1"/>
  <c r="K1" i="149" a="1"/>
  <c r="K1" i="149" s="1"/>
  <c r="C3" i="149" s="1" a="1"/>
  <c r="C3" i="149" s="1"/>
  <c r="K1" i="148" a="1"/>
  <c r="K1" i="148" s="1"/>
  <c r="C3" i="148" s="1" a="1"/>
  <c r="C3" i="148" s="1"/>
  <c r="K1" i="147" a="1"/>
  <c r="K1" i="147" s="1"/>
  <c r="C3" i="147" s="1" a="1"/>
  <c r="C3" i="147" s="1"/>
  <c r="K1" i="146" a="1"/>
  <c r="K1" i="146" s="1"/>
  <c r="C3" i="146" s="1" a="1"/>
  <c r="C3" i="146" s="1"/>
  <c r="K1" i="145" a="1"/>
  <c r="K1" i="145" s="1"/>
  <c r="C3" i="145" s="1" a="1"/>
  <c r="C3" i="145" s="1"/>
  <c r="K1" i="144" a="1"/>
  <c r="K1" i="144" s="1"/>
  <c r="C3" i="144" s="1" a="1"/>
  <c r="C3" i="144" s="1"/>
  <c r="K1" i="143" a="1"/>
  <c r="K1" i="143" s="1"/>
  <c r="C3" i="143" s="1" a="1"/>
  <c r="C3" i="143" s="1"/>
  <c r="K1" i="142" a="1"/>
  <c r="K1" i="142" s="1"/>
  <c r="C3" i="142" s="1" a="1"/>
  <c r="C3" i="142" s="1"/>
  <c r="K1" i="141" a="1"/>
  <c r="K1" i="141" s="1"/>
  <c r="C3" i="141" s="1" a="1"/>
  <c r="C3" i="141" s="1"/>
  <c r="K1" i="140" a="1"/>
  <c r="K1" i="140" s="1"/>
  <c r="C3" i="140" s="1" a="1"/>
  <c r="C3" i="140" s="1"/>
  <c r="K1" i="139" a="1"/>
  <c r="K1" i="139" s="1"/>
  <c r="C3" i="139" s="1" a="1"/>
  <c r="C3" i="139" s="1"/>
  <c r="K1" i="138" a="1"/>
  <c r="K1" i="138" s="1"/>
  <c r="C3" i="138" s="1" a="1"/>
  <c r="C3" i="138" s="1"/>
  <c r="K1" i="137" a="1"/>
  <c r="K1" i="137" s="1"/>
  <c r="C3" i="137" s="1" a="1"/>
  <c r="C3" i="137" s="1"/>
  <c r="K1" i="136" a="1"/>
  <c r="K1" i="136" s="1"/>
  <c r="C3" i="136" s="1" a="1"/>
  <c r="C3" i="136" s="1"/>
  <c r="K1" i="135" a="1"/>
  <c r="K1" i="135" s="1"/>
  <c r="C3" i="135" s="1" a="1"/>
  <c r="C3" i="135" s="1"/>
  <c r="K1" i="134" a="1"/>
  <c r="K1" i="134" s="1"/>
  <c r="C3" i="134" s="1" a="1"/>
  <c r="C3" i="134" s="1"/>
  <c r="K1" i="133" a="1"/>
  <c r="K1" i="133" s="1"/>
  <c r="C3" i="133" s="1" a="1"/>
  <c r="C3" i="133" s="1"/>
  <c r="K1" i="132" a="1"/>
  <c r="K1" i="132" s="1"/>
  <c r="C3" i="132" s="1" a="1"/>
  <c r="C3" i="132" s="1"/>
  <c r="K1" i="131" a="1"/>
  <c r="K1" i="131" s="1"/>
  <c r="C3" i="131" s="1" a="1"/>
  <c r="C3" i="131" s="1"/>
  <c r="K1" i="130" a="1"/>
  <c r="K1" i="130" s="1"/>
  <c r="C3" i="130" s="1" a="1"/>
  <c r="C3" i="130" s="1"/>
  <c r="K1" i="129" a="1"/>
  <c r="K1" i="129" s="1"/>
  <c r="C3" i="129" s="1" a="1"/>
  <c r="C3" i="129" s="1"/>
  <c r="K1" i="128" a="1"/>
  <c r="K1" i="128" s="1"/>
  <c r="C3" i="128" s="1" a="1"/>
  <c r="C3" i="128" s="1"/>
  <c r="K1" i="127" a="1"/>
  <c r="K1" i="127" s="1"/>
  <c r="C3" i="127" s="1" a="1"/>
  <c r="C3" i="127" s="1"/>
  <c r="K1" i="126" a="1"/>
  <c r="K1" i="126" s="1"/>
  <c r="C3" i="126" s="1" a="1"/>
  <c r="C3" i="126" s="1"/>
  <c r="K1" i="125" a="1"/>
  <c r="K1" i="125" s="1"/>
  <c r="C3" i="125" s="1" a="1"/>
  <c r="C3" i="125" s="1"/>
  <c r="K1" i="124" a="1"/>
  <c r="K1" i="124" s="1"/>
  <c r="C3" i="124" s="1" a="1"/>
  <c r="C3" i="124" s="1"/>
  <c r="K1" i="123" a="1"/>
  <c r="K1" i="123" s="1"/>
  <c r="C3" i="123" s="1" a="1"/>
  <c r="C3" i="123" s="1"/>
  <c r="K1" i="122" a="1"/>
  <c r="K1" i="122" s="1"/>
  <c r="C3" i="122" s="1" a="1"/>
  <c r="C3" i="122" s="1"/>
  <c r="K1" i="121" a="1"/>
  <c r="K1" i="121" s="1"/>
  <c r="C3" i="121" s="1" a="1"/>
  <c r="C3" i="121" s="1"/>
  <c r="K1" i="120" a="1"/>
  <c r="K1" i="120" s="1"/>
  <c r="C3" i="120" s="1" a="1"/>
  <c r="C3" i="120" s="1"/>
  <c r="K1" i="119" a="1"/>
  <c r="K1" i="119" s="1"/>
  <c r="C3" i="119" s="1" a="1"/>
  <c r="C3" i="119" s="1"/>
  <c r="K1" i="118" a="1"/>
  <c r="K1" i="118" s="1"/>
  <c r="C3" i="118" s="1" a="1"/>
  <c r="C3" i="118" s="1"/>
  <c r="K1" i="117" a="1"/>
  <c r="K1" i="117" s="1"/>
  <c r="C3" i="117" s="1" a="1"/>
  <c r="C3" i="117" s="1"/>
  <c r="K1" i="116" a="1"/>
  <c r="K1" i="116" s="1"/>
  <c r="C3" i="116" s="1" a="1"/>
  <c r="C3" i="116" s="1"/>
  <c r="K1" i="115" a="1"/>
  <c r="K1" i="115" s="1"/>
  <c r="C3" i="115" s="1" a="1"/>
  <c r="C3" i="115" s="1"/>
  <c r="K1" i="114" a="1"/>
  <c r="K1" i="114" s="1"/>
  <c r="C3" i="114" s="1" a="1"/>
  <c r="C3" i="114" s="1"/>
  <c r="K1" i="113" a="1"/>
  <c r="K1" i="113" s="1"/>
  <c r="C3" i="113" s="1" a="1"/>
  <c r="C3" i="113" s="1"/>
  <c r="K1" i="112" a="1"/>
  <c r="K1" i="112" s="1"/>
  <c r="C3" i="112" s="1" a="1"/>
  <c r="C3" i="112" s="1"/>
  <c r="K1" i="111" a="1"/>
  <c r="K1" i="111" s="1"/>
  <c r="C3" i="111" s="1" a="1"/>
  <c r="C3" i="111" s="1"/>
  <c r="K1" i="110" a="1"/>
  <c r="K1" i="110" s="1"/>
  <c r="C3" i="110" s="1" a="1"/>
  <c r="C3" i="110" s="1"/>
  <c r="K1" i="109" a="1"/>
  <c r="K1" i="109" s="1"/>
  <c r="C3" i="109" s="1" a="1"/>
  <c r="C3" i="109" s="1"/>
  <c r="K1" i="108" a="1"/>
  <c r="K1" i="108" s="1"/>
  <c r="C3" i="108" s="1" a="1"/>
  <c r="C3" i="108" s="1"/>
  <c r="K1" i="107" a="1"/>
  <c r="K1" i="107" s="1"/>
  <c r="C3" i="107" s="1" a="1"/>
  <c r="C3" i="107" s="1"/>
  <c r="K1" i="106" a="1"/>
  <c r="K1" i="106" s="1"/>
  <c r="C3" i="106" s="1" a="1"/>
  <c r="C3" i="106" s="1"/>
  <c r="K1" i="105" a="1"/>
  <c r="K1" i="105" s="1"/>
  <c r="C3" i="105" s="1" a="1"/>
  <c r="C3" i="105" s="1"/>
  <c r="K1" i="3" a="1"/>
  <c r="K1" i="3" s="1"/>
  <c r="L14" i="1" l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l="1"/>
  <c r="L31" i="1" s="1"/>
  <c r="L29" i="1" l="1"/>
  <c r="L32" i="1" s="1"/>
  <c r="L34" i="1" s="1"/>
  <c r="L35" i="1" s="1"/>
  <c r="L36" i="1" s="1"/>
  <c r="L37" i="1" s="1"/>
  <c r="L30" i="1"/>
  <c r="L33" i="1" s="1"/>
  <c r="L6" i="1"/>
  <c r="L7" i="1" s="1"/>
  <c r="L8" i="1" s="1"/>
  <c r="L9" i="1" s="1"/>
  <c r="L10" i="1" s="1"/>
  <c r="L38" i="1" l="1"/>
  <c r="L55" i="1"/>
  <c r="L12" i="1"/>
  <c r="L11" i="1"/>
  <c r="L13" i="1" s="1"/>
  <c r="L2" i="1"/>
  <c r="L3" i="1" s="1"/>
  <c r="L4" i="1" s="1"/>
  <c r="L5" i="1" s="1"/>
  <c r="I3" i="2"/>
  <c r="L39" i="1" l="1"/>
  <c r="L56" i="1"/>
  <c r="L40" i="1" l="1"/>
  <c r="G4" i="2"/>
  <c r="G5" i="2"/>
  <c r="G3" i="2"/>
  <c r="L57" i="1" l="1"/>
  <c r="G6" i="2"/>
  <c r="F4" i="2"/>
  <c r="F5" i="2"/>
  <c r="F3" i="2"/>
  <c r="L46" i="1" l="1"/>
  <c r="L58" i="1"/>
  <c r="F6" i="2"/>
  <c r="H4" i="2"/>
  <c r="H5" i="2"/>
  <c r="H3" i="2"/>
  <c r="L47" i="1" l="1"/>
  <c r="L48" i="1" s="1"/>
  <c r="L49" i="1" s="1"/>
  <c r="L50" i="1" s="1"/>
  <c r="L51" i="1" s="1"/>
  <c r="L52" i="1" s="1"/>
  <c r="L53" i="1" s="1"/>
  <c r="L54" i="1" s="1"/>
  <c r="L59" i="1"/>
  <c r="E4" i="2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  <c r="C3" i="3" a="1"/>
  <c r="C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<sst xmlns="http://schemas.openxmlformats.org/spreadsheetml/2006/main" count="1187" uniqueCount="252">
  <si>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</si>
  <si>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</si>
  <si>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</si>
  <si>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</si>
  <si>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</si>
  <si>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</si>
  <si>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</si>
  <si>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</si>
  <si>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</si>
  <si>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</si>
  <si>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</si>
  <si>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</si>
  <si>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</si>
  <si>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Pass</t>
  </si>
  <si>
    <t>윈도우기능</t>
  </si>
  <si>
    <t>제목/아이콘 표시</t>
  </si>
  <si>
    <t>Fail</t>
  </si>
  <si>
    <t>Block</t>
  </si>
  <si>
    <t>N/A</t>
  </si>
  <si>
    <t>게임중 윈도우를 최소화 후 복귀한다</t>
  </si>
  <si>
    <t>N/T</t>
  </si>
  <si>
    <t>닫기</t>
  </si>
  <si>
    <t>윈도우를 닫는다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</si>
  <si>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</si>
  <si>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</si>
  <si>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</si>
  <si>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</si>
  <si>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</si>
  <si>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</si>
  <si>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</si>
  <si>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8" type="noConversion"/>
  </si>
  <si>
    <r>
      <t xml:space="preserve">1. "Love Crown.exe" </t>
    </r>
    <r>
      <rPr>
        <sz val="9"/>
        <rFont val="맑은 고딕"/>
        <family val="3"/>
        <charset val="129"/>
      </rPr>
      <t>파일실행</t>
    </r>
    <phoneticPr fontId="8" type="noConversion"/>
  </si>
  <si>
    <r>
      <rPr>
        <sz val="9"/>
        <rFont val="Verdana"/>
        <family val="3"/>
      </rPr>
      <t>Love Crown</t>
    </r>
    <r>
      <rPr>
        <sz val="9"/>
        <rFont val="Arial Unicode MS"/>
        <family val="3"/>
        <charset val="129"/>
      </rPr>
      <t>이 실행된다</t>
    </r>
    <phoneticPr fontId="8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</si>
  <si>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8" type="noConversion"/>
  </si>
  <si>
    <r>
      <rPr>
        <sz val="9"/>
        <rFont val="맑은 고딕"/>
        <family val="3"/>
        <charset val="129"/>
      </rPr>
      <t>게임이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종료된다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</si>
  <si>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최소화버튼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r>
      <rPr>
        <sz val="9"/>
        <rFont val="Verdana"/>
        <family val="2"/>
      </rPr>
      <t xml:space="preserve">
2.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작업표시줄에서</t>
    </r>
    <r>
      <rPr>
        <sz val="9"/>
        <rFont val="Verdana"/>
        <family val="2"/>
      </rPr>
      <t xml:space="preserve"> </t>
    </r>
    <r>
      <rPr>
        <sz val="9"/>
        <rFont val="Verdana"/>
        <family val="3"/>
      </rPr>
      <t>Love  Crown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phoneticPr fontId="8" type="noConversion"/>
  </si>
  <si>
    <r>
      <rPr>
        <sz val="9"/>
        <rFont val="맑은 고딕"/>
        <family val="3"/>
        <charset val="129"/>
      </rPr>
      <t>제목표시줄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내용을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확인한다</t>
    </r>
    <phoneticPr fontId="8" type="noConversion"/>
  </si>
  <si>
    <t>게임실행</t>
    <phoneticPr fontId="8" type="noConversion"/>
  </si>
  <si>
    <r>
      <rPr>
        <sz val="9"/>
        <rFont val="맑은 고딕"/>
        <family val="3"/>
        <charset val="129"/>
      </rPr>
      <t>게임을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실행한다</t>
    </r>
    <phoneticPr fontId="8" type="noConversion"/>
  </si>
  <si>
    <t>상점 시스템</t>
    <phoneticPr fontId="8" type="noConversion"/>
  </si>
  <si>
    <t>게임 기능</t>
    <phoneticPr fontId="8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</si>
  <si>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대화한다</t>
    </r>
    <phoneticPr fontId="8" type="noConversion"/>
  </si>
  <si>
    <r>
      <rPr>
        <sz val="9"/>
        <rFont val="맑은 고딕"/>
        <family val="3"/>
        <charset val="129"/>
      </rPr>
      <t>게임이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최소화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되었다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복구된다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</si>
  <si>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닫기버튼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클릭</t>
    </r>
    <phoneticPr fontId="8" type="noConversion"/>
  </si>
  <si>
    <t>상점에서 아이템 구매 확인창이 뜨는지 확인한다</t>
    <phoneticPr fontId="8" type="noConversion"/>
  </si>
  <si>
    <r>
      <rPr>
        <sz val="9"/>
        <rFont val="Arial Unicode MS"/>
        <family val="2"/>
        <charset val="129"/>
      </rPr>
      <t xml:space="preserve">상점 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  및 아이템 리스트가 화면에 출럭된다</t>
    </r>
    <phoneticPr fontId="8" type="noConversion"/>
  </si>
  <si>
    <t>아이템 구매 확인창에서 "네"를 선택한다</t>
    <phoneticPr fontId="8" type="noConversion"/>
  </si>
  <si>
    <t>아이템 구매 확인창에서 "아니오"를  선택한다</t>
    <phoneticPr fontId="8" type="noConversion"/>
  </si>
  <si>
    <t>1. 아이템이 구매되지 않는다
2. 아이템 구매 확인창이 닫히고 상점 UI로 돌아간다</t>
    <phoneticPr fontId="8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</si>
  <si>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닫히는지 확인한다</t>
    </r>
    <phoneticPr fontId="8" type="noConversion"/>
  </si>
  <si>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 닫히고 기존 화면으로 돌아간다</t>
    </r>
    <phoneticPr fontId="8" type="noConversion"/>
  </si>
  <si>
    <t>플레이어의 이동이 제한된다</t>
    <phoneticPr fontId="8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</si>
  <si>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를 닫은 후 플레이어 이동</t>
    </r>
    <r>
      <rPr>
        <sz val="9"/>
        <rFont val="Verdana"/>
        <family val="2"/>
        <charset val="129"/>
      </rPr>
      <t xml:space="preserve"> </t>
    </r>
    <r>
      <rPr>
        <sz val="9"/>
        <rFont val="Arial Unicode MS"/>
        <family val="2"/>
        <charset val="129"/>
      </rPr>
      <t>제한이 해제된다</t>
    </r>
    <phoneticPr fontId="8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</si>
  <si>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표시되는 동안 플레이어 이동이 제한된다</t>
    </r>
    <phoneticPr fontId="8" type="noConversion"/>
  </si>
  <si>
    <t>플레이어의 이동 제한이 해제된다</t>
    <phoneticPr fontId="8" type="noConversion"/>
  </si>
  <si>
    <t>아이템 구매 시 재화가 차감된다</t>
    <phoneticPr fontId="8" type="noConversion"/>
  </si>
  <si>
    <t>아이템의 가격에 따라 해당 가격만큼 재화가 차감된다</t>
    <phoneticPr fontId="8" type="noConversion"/>
  </si>
  <si>
    <t>1. 아이템이 구매된다
2. 아이템 구매 확인창이 닫히고 상점 UI로 돌아간다</t>
    <phoneticPr fontId="8" type="noConversion"/>
  </si>
  <si>
    <t>아이템 구매 후 인벤토리에 아이템이 추가된다</t>
    <phoneticPr fontId="8" type="noConversion"/>
  </si>
  <si>
    <t>인벤토리 시스템</t>
    <phoneticPr fontId="8" type="noConversion"/>
  </si>
  <si>
    <t>인벤토리 창을 활성화 한다</t>
    <phoneticPr fontId="8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</si>
  <si>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출력된다</t>
    </r>
    <phoneticPr fontId="8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</si>
  <si>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창을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한다</t>
    </r>
    <phoneticPr fontId="8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</si>
  <si>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된다</t>
    </r>
    <phoneticPr fontId="8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</si>
  <si>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출력되는 중 플레이어가 이동가능 여부를 확인한다</t>
    </r>
    <phoneticPr fontId="8" type="noConversion"/>
  </si>
  <si>
    <t>구매한 아이템이 인벤토리에 추가된다</t>
    <phoneticPr fontId="8" type="noConversion"/>
  </si>
  <si>
    <t>일반 NPC에게 아이템을 사용 후 해당 아이템이 인벤토리 창에서 차감되는지 확인한다</t>
    <phoneticPr fontId="8" type="noConversion"/>
  </si>
  <si>
    <r>
      <t xml:space="preserve"> "{</t>
    </r>
    <r>
      <rPr>
        <sz val="9"/>
        <rFont val="Arial Unicode MS"/>
        <family val="2"/>
        <charset val="129"/>
      </rPr>
      <t>아이템이름</t>
    </r>
    <r>
      <rPr>
        <sz val="9"/>
        <rFont val="Verdana"/>
        <family val="2"/>
      </rPr>
      <t xml:space="preserve">} 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구매하시겠습니까</t>
    </r>
    <r>
      <rPr>
        <sz val="9"/>
        <rFont val="Verdana"/>
        <family val="2"/>
      </rPr>
      <t xml:space="preserve">?" </t>
    </r>
    <r>
      <rPr>
        <sz val="9"/>
        <rFont val="Arial Unicode MS"/>
        <family val="2"/>
        <charset val="129"/>
      </rPr>
      <t>텍스트와 "네 / 아니오" 버튼이 화면에 출력된다</t>
    </r>
    <phoneticPr fontId="8" type="noConversion"/>
  </si>
  <si>
    <t>플레이어의 모든 이동이 활성화 되어 있다</t>
    <phoneticPr fontId="8" type="noConversion"/>
  </si>
  <si>
    <t>아이템 사용 후 인벤토리에서 해당 아이템이 차감된다</t>
    <phoneticPr fontId="8" type="noConversion"/>
  </si>
  <si>
    <r>
      <t xml:space="preserve">1. </t>
    </r>
    <r>
      <rPr>
        <sz val="9"/>
        <rFont val="맑은 고딕"/>
        <family val="3"/>
        <charset val="129"/>
      </rPr>
      <t>윈도우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타이틀바</t>
    </r>
    <r>
      <rPr>
        <sz val="9"/>
        <rFont val="Verdana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</si>
  <si>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NPC</t>
    </r>
    <r>
      <rPr>
        <sz val="9"/>
        <rFont val="Arial Unicode MS"/>
        <family val="2"/>
        <charset val="129"/>
      </rPr>
      <t>의 앞에서 "</t>
    </r>
    <r>
      <rPr>
        <sz val="9"/>
        <rFont val="Verdana"/>
        <family val="2"/>
      </rPr>
      <t>E"</t>
    </r>
    <r>
      <rPr>
        <sz val="9"/>
        <rFont val="Arial Unicode MS"/>
        <family val="2"/>
        <charset val="129"/>
      </rPr>
      <t xml:space="preserve">키를 눌러 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</si>
  <si>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화면에 출력되는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</si>
  <si>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 상태에서 플레이어가 이동을 시도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</si>
  <si>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상태에서</t>
    </r>
    <r>
      <rPr>
        <sz val="9"/>
        <rFont val="Verdana"/>
        <family val="2"/>
      </rPr>
      <t xml:space="preserve"> Escape</t>
    </r>
    <r>
      <rPr>
        <sz val="9"/>
        <rFont val="Arial Unicode MS"/>
        <family val="2"/>
        <charset val="129"/>
      </rPr>
      <t>키 입력
2.  플레이어가 이동을 시도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</si>
  <si>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상점의 아이템 리스트에서 아이템 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</si>
  <si>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 구매 확인창에서 "네" 버튼 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</si>
  <si>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 아이템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확인창에서</t>
    </r>
    <r>
      <rPr>
        <sz val="9"/>
        <rFont val="Verdana"/>
        <family val="2"/>
      </rPr>
      <t xml:space="preserve"> "</t>
    </r>
    <r>
      <rPr>
        <sz val="9"/>
        <rFont val="Arial Unicode MS"/>
        <family val="2"/>
        <charset val="129"/>
      </rPr>
      <t>아니오" 버튼 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</si>
  <si>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상점에서 아이템을 구매
2.  구매한 값 만큼의 재화가 차감되는지 확인</t>
    </r>
    <phoneticPr fontId="8" type="noConversion"/>
  </si>
  <si>
    <r>
      <t>1. B</t>
    </r>
    <r>
      <rPr>
        <sz val="9"/>
        <rFont val="Arial Unicode MS"/>
        <family val="2"/>
        <charset val="129"/>
      </rPr>
      <t>키를 눌러 인벤토리 창을 활성화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</si>
  <si>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출력된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</si>
  <si>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인벤토리 UI가 출력된 상태에서 플레이어가 이동을 시도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</si>
  <si>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인벤토리를 열어 구매한 아이템이 인벤토리에 추가 여부를 확인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</si>
  <si>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아이템을 소지한 채로 일반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
2.  대화를 마친 후 인벤토리 창을 열고 아이템의 차감 여부를 확인</t>
    </r>
    <phoneticPr fontId="8" type="noConversion"/>
  </si>
  <si>
    <t>호감도 시스템</t>
    <phoneticPr fontId="8" type="noConversion"/>
  </si>
  <si>
    <t>멀티 시스템</t>
    <phoneticPr fontId="8" type="noConversion"/>
  </si>
  <si>
    <t>게임 시작 버튼을 누른다</t>
    <phoneticPr fontId="8" type="noConversion"/>
  </si>
  <si>
    <t>설정 버튼을 누른다</t>
    <phoneticPr fontId="8" type="noConversion"/>
  </si>
  <si>
    <t>게임 종료 버튼을 누른다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</si>
  <si>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  시작 버튼을 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</si>
  <si>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설정 버튼을 클릭</t>
    </r>
    <phoneticPr fontId="8" type="noConversion"/>
  </si>
  <si>
    <t>1. 게임 종료 버튼을 클릭</t>
    <phoneticPr fontId="8" type="noConversion"/>
  </si>
  <si>
    <r>
      <rPr>
        <sz val="9"/>
        <rFont val="Arial Unicode MS"/>
        <family val="2"/>
        <charset val="129"/>
      </rPr>
      <t xml:space="preserve">방 생성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으로 넘어간다</t>
    </r>
    <phoneticPr fontId="8" type="noConversion"/>
  </si>
  <si>
    <r>
      <rPr>
        <sz val="9"/>
        <rFont val="Arial Unicode MS"/>
        <family val="2"/>
        <charset val="129"/>
      </rPr>
      <t xml:space="preserve">설정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표시된다</t>
    </r>
    <phoneticPr fontId="8" type="noConversion"/>
  </si>
  <si>
    <t>게임이 종료된다</t>
    <phoneticPr fontId="8" type="noConversion"/>
  </si>
  <si>
    <t>소리</t>
    <phoneticPr fontId="8" type="noConversion"/>
  </si>
  <si>
    <r>
      <t>Exit</t>
    </r>
    <r>
      <rPr>
        <sz val="9"/>
        <rFont val="Arial Unicode MS"/>
        <family val="2"/>
        <charset val="129"/>
      </rPr>
      <t>를 누른다</t>
    </r>
    <phoneticPr fontId="8" type="noConversion"/>
  </si>
  <si>
    <t>사운드 볼륨을 조절한다</t>
    <phoneticPr fontId="8" type="noConversion"/>
  </si>
  <si>
    <t>볼룸이 커지거나 작아진다</t>
    <phoneticPr fontId="8" type="noConversion"/>
  </si>
  <si>
    <t>N/T</t>
    <phoneticPr fontId="8" type="noConversion"/>
  </si>
  <si>
    <r>
      <t xml:space="preserve">1. Exit </t>
    </r>
    <r>
      <rPr>
        <sz val="9"/>
        <rFont val="Arial Unicode MS"/>
        <family val="2"/>
        <charset val="129"/>
      </rPr>
      <t>버튼을 클릭한다</t>
    </r>
    <phoneticPr fontId="8" type="noConversion"/>
  </si>
  <si>
    <t>설정 UI가 닫힌다</t>
    <phoneticPr fontId="8" type="noConversion"/>
  </si>
  <si>
    <t>볼륨을 올린다</t>
    <phoneticPr fontId="8" type="noConversion"/>
  </si>
  <si>
    <r>
      <rPr>
        <sz val="9"/>
        <rFont val="Arial Unicode MS"/>
        <family val="2"/>
        <charset val="129"/>
      </rPr>
      <t>볼륨을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내린다</t>
    </r>
    <phoneticPr fontId="8" type="noConversion"/>
  </si>
  <si>
    <t>볼륨이 커진다</t>
    <phoneticPr fontId="8" type="noConversion"/>
  </si>
  <si>
    <t>볼륨이 작아진다</t>
    <phoneticPr fontId="8" type="noConversion"/>
  </si>
  <si>
    <t>플레이어 이름을 입력한다</t>
    <phoneticPr fontId="8" type="noConversion"/>
  </si>
  <si>
    <t>방 이름을 입력한다</t>
    <phoneticPr fontId="8" type="noConversion"/>
  </si>
  <si>
    <t>플레이어 이름이 입력된다</t>
    <phoneticPr fontId="8" type="noConversion"/>
  </si>
  <si>
    <t>방 이름이 입력된다</t>
    <phoneticPr fontId="8" type="noConversion"/>
  </si>
  <si>
    <t>방을 생성한다</t>
    <phoneticPr fontId="8" type="noConversion"/>
  </si>
  <si>
    <t>생성된 방에 참가한다</t>
    <phoneticPr fontId="8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</si>
  <si>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8" type="noConversion"/>
  </si>
  <si>
    <r>
      <t>GameScene</t>
    </r>
    <r>
      <rPr>
        <sz val="9"/>
        <rFont val="Arial Unicode MS"/>
        <family val="2"/>
        <charset val="129"/>
      </rPr>
      <t>에서  실행</t>
    </r>
    <phoneticPr fontId="8" type="noConversion"/>
  </si>
  <si>
    <r>
      <t>MainScene</t>
    </r>
    <r>
      <rPr>
        <sz val="9"/>
        <rFont val="Arial Unicode MS"/>
        <family val="2"/>
        <charset val="129"/>
      </rPr>
      <t>에서 실행</t>
    </r>
    <phoneticPr fontId="8" type="noConversion"/>
  </si>
  <si>
    <r>
      <t>MainScene</t>
    </r>
    <r>
      <rPr>
        <sz val="9"/>
        <rFont val="Arial Unicode MS"/>
        <family val="2"/>
        <charset val="129"/>
      </rPr>
      <t>에서 실행 / 설정 UI에서 실행</t>
    </r>
    <phoneticPr fontId="8" type="noConversion"/>
  </si>
  <si>
    <t>게임을 시작한다</t>
    <phoneticPr fontId="8" type="noConversion"/>
  </si>
  <si>
    <t>플레이어 이름을 입력하지 않고 방을 생성 / 참가 한다</t>
    <phoneticPr fontId="8" type="noConversion"/>
  </si>
  <si>
    <t>방 이름을 입력하지 않고 방을 생성 / 참가 한다</t>
    <phoneticPr fontId="8" type="noConversion"/>
  </si>
  <si>
    <t>생성된 방에 참가되고 해당 방의 플레이어 리스트가 표시된다</t>
    <phoneticPr fontId="8" type="noConversion"/>
  </si>
  <si>
    <t>방 이름에 맞게 방이 생성되고 해당 방의 플레이어 리스트가 표시된다</t>
    <phoneticPr fontId="8" type="noConversion"/>
  </si>
  <si>
    <t>해당 방에 참가한 플레이어들이 GameScene으로 진입한다</t>
    <phoneticPr fontId="8" type="noConversion"/>
  </si>
  <si>
    <t>플레이어 이름이  랜덤으로 설정되고 방이 생성된다</t>
    <phoneticPr fontId="8" type="noConversion"/>
  </si>
  <si>
    <t>방이 생성되지 않는다</t>
    <phoneticPr fontId="8" type="noConversion"/>
  </si>
  <si>
    <r>
      <t>(</t>
    </r>
    <r>
      <rPr>
        <sz val="9"/>
        <rFont val="Arial Unicode MS"/>
        <family val="2"/>
        <charset val="129"/>
      </rPr>
      <t xml:space="preserve">임시) 유니티 아이콘과 </t>
    </r>
    <r>
      <rPr>
        <sz val="9"/>
        <rFont val="Verdana"/>
        <family val="2"/>
      </rPr>
      <t xml:space="preserve">Love Crown </t>
    </r>
    <r>
      <rPr>
        <sz val="9"/>
        <rFont val="Arial Unicode MS"/>
        <family val="2"/>
        <charset val="129"/>
      </rPr>
      <t>제못이 뜬다</t>
    </r>
    <phoneticPr fontId="8" type="noConversion"/>
  </si>
  <si>
    <t>PASS</t>
    <phoneticPr fontId="8" type="noConversion"/>
  </si>
  <si>
    <t>Fail</t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</si>
  <si>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 xml:space="preserve">Scene </t>
    </r>
    <r>
      <rPr>
        <sz val="9"/>
        <rFont val="Arial Unicode MS"/>
        <family val="2"/>
        <charset val="129"/>
      </rPr>
      <t>별로 사운드가 동일하게 조절되는지 확인한다</t>
    </r>
    <phoneticPr fontId="8" type="noConversion"/>
  </si>
  <si>
    <t>MainScene, GameScene에서 실행</t>
    <phoneticPr fontId="8" type="noConversion"/>
  </si>
  <si>
    <r>
      <t xml:space="preserve">BTL </t>
    </r>
    <r>
      <rPr>
        <sz val="9"/>
        <rFont val="Arial Unicode MS"/>
        <family val="2"/>
        <charset val="129"/>
      </rPr>
      <t>참고</t>
    </r>
    <phoneticPr fontId="8" type="noConversion"/>
  </si>
  <si>
    <r>
      <rPr>
        <sz val="9"/>
        <rFont val="Arial Unicode MS"/>
        <family val="2"/>
        <charset val="129"/>
      </rPr>
      <t xml:space="preserve">인게임 </t>
    </r>
    <r>
      <rPr>
        <sz val="9"/>
        <rFont val="Arial"/>
        <family val="2"/>
      </rPr>
      <t>UI</t>
    </r>
    <phoneticPr fontId="8" type="noConversion"/>
  </si>
  <si>
    <t>모든 텍스트에서 한글 폰트가 정상적으로 나오는지
확인한다</t>
    <phoneticPr fontId="8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</si>
  <si>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8" type="noConversion"/>
  </si>
  <si>
    <t>폰트가 모두 정상적으로 출력된다</t>
    <phoneticPr fontId="8" type="noConversion"/>
  </si>
  <si>
    <r>
      <t xml:space="preserve">BTL </t>
    </r>
    <r>
      <rPr>
        <sz val="9"/>
        <rFont val="돋움"/>
        <family val="2"/>
        <charset val="129"/>
      </rPr>
      <t>참고</t>
    </r>
    <phoneticPr fontId="8" type="noConversion"/>
  </si>
  <si>
    <t>플레이어 이동 관련</t>
    <phoneticPr fontId="8" type="noConversion"/>
  </si>
  <si>
    <t>게임 종료</t>
    <phoneticPr fontId="8" type="noConversion"/>
  </si>
  <si>
    <t>게임메뉴</t>
    <phoneticPr fontId="8" type="noConversion"/>
  </si>
  <si>
    <t>UI</t>
    <phoneticPr fontId="8" type="noConversion"/>
  </si>
  <si>
    <t>호감도가 0으로 표시된다</t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</si>
  <si>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 대화 시작 시 호감도가 0으로 표시된다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</si>
  <si>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처음으로 대화를 시도
2.  좌측 상단의 호감도가 0으로 표시되는지 확인</t>
    </r>
    <phoneticPr fontId="8" type="noConversion"/>
  </si>
  <si>
    <t>두 Scene에서 동일한 값의 사운드가 출력된다</t>
    <phoneticPr fontId="8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</si>
  <si>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8" type="noConversion"/>
  </si>
  <si>
    <t>로비 화면으로 돌아온다</t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</si>
  <si>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증가하는 선택지를 클릭한다</t>
    </r>
    <phoneticPr fontId="8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</si>
  <si>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증가하는 선택지를 클릭
3.  대화 종료</t>
    </r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</si>
  <si>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감소하는 선택지를 클릭한다</t>
    </r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</si>
  <si>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불변하는 선택지를 클릭한다</t>
    </r>
    <phoneticPr fontId="8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</si>
  <si>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감소하는 선택지를 클릭
3.  대화 종료</t>
    </r>
    <phoneticPr fontId="8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</si>
  <si>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불변하는 선택지를 클릭
3.  대화 종료</t>
    </r>
    <phoneticPr fontId="8" type="noConversion"/>
  </si>
  <si>
    <t>호감도가 증감하지 않는다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</si>
  <si>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상점에서 호감도 아이템을 구매
2.  아이템에 맞는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</si>
  <si>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</si>
  <si>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</si>
  <si>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</si>
  <si>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</si>
  <si>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8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</si>
  <si>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8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</si>
  <si>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8" type="noConversion"/>
  </si>
  <si>
    <r>
      <t>1. NPC</t>
    </r>
    <r>
      <rPr>
        <sz val="9"/>
        <rFont val="Arial Unicode MS"/>
        <family val="2"/>
        <charset val="129"/>
      </rPr>
      <t>와 대화를 시도
2.  대화 / 선택지 / 재화 / 호감도 / 아이템 구매 확인창의 한글 텍스트가 정상적으로 출력되는지 확인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</si>
  <si>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사운드 불륨을 조절하는 슬라이더를 조절</t>
    </r>
    <phoneticPr fontId="8" type="noConversion"/>
  </si>
  <si>
    <r>
      <t>1. MainScene</t>
    </r>
    <r>
      <rPr>
        <sz val="9"/>
        <rFont val="Arial Unicode MS"/>
        <family val="2"/>
        <charset val="129"/>
      </rPr>
      <t xml:space="preserve">에서 볼륨을 조정
2.  </t>
    </r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 xml:space="preserve">에서 불륨을 조절
3.  두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에서 불륨이 동일한지 확인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</si>
  <si>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사운드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슬라이더를 왼쪽으로 조절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</si>
  <si>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사운드 슬라이더를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오른쪽으로 조절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</si>
  <si>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게임을 진행
2.  타이머가 종료된 후 게임 결과 화면이 출력
3.  로비로 돌아가기 버튼을 클릭</t>
    </r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</si>
  <si>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에게 할당된 호감도 아이템을 선물한다</t>
    </r>
    <phoneticPr fontId="8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</si>
  <si>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에게 할당되지 않은 호감도 아이템을 선물한다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</si>
  <si>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상점에서 호감도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아이템에 맞지 않는 NPC와 대화</t>
    </r>
    <phoneticPr fontId="8" type="noConversion"/>
  </si>
  <si>
    <t>아이템이 제거되고 호감도가 증가, 감사 전용 대화창이 출력된다</t>
    <phoneticPr fontId="8" type="noConversion"/>
  </si>
  <si>
    <t>아이템이 제거 및 호감도 증가 X, 거절 전용 대화창이 출력된다</t>
    <phoneticPr fontId="8" type="noConversion"/>
  </si>
  <si>
    <t>로비 화면</t>
    <phoneticPr fontId="8" type="noConversion"/>
  </si>
  <si>
    <t>설정</t>
    <phoneticPr fontId="8" type="noConversion"/>
  </si>
  <si>
    <r>
      <rPr>
        <sz val="9"/>
        <rFont val="Arial Unicode MS"/>
        <family val="2"/>
        <charset val="129"/>
      </rPr>
      <t xml:space="preserve">게임 결과 화면 </t>
    </r>
    <r>
      <rPr>
        <sz val="9"/>
        <rFont val="Arial"/>
        <family val="2"/>
      </rPr>
      <t>UI</t>
    </r>
    <phoneticPr fontId="8" type="noConversion"/>
  </si>
  <si>
    <t>게임 결과 화면이 정상적으로 출력되는지 확인한다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</si>
  <si>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진행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타이머가 끝나고 게임 결과 화면 출력</t>
    </r>
    <phoneticPr fontId="8" type="noConversion"/>
  </si>
  <si>
    <t>게임 결과 화면이 정상적으로 출력된다</t>
    <phoneticPr fontId="8" type="noConversion"/>
  </si>
  <si>
    <t>타이머가 끝나면 게임이 종료되고 로비 화면으로 돌아간다</t>
    <phoneticPr fontId="8" type="noConversion"/>
  </si>
  <si>
    <t>로비로 돌아간 후 다시 게임을 시작한다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</si>
  <si>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 종료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후 로비로 돌아가기 클릭
2.  로비로 돌아온 후 방 생성 및 입장
3.  게임 시작 버튼 클릭</t>
    </r>
    <phoneticPr fontId="8" type="noConversion"/>
  </si>
  <si>
    <t>정상적으로 방이 생성/입장되고 게임이 시작된다</t>
    <phoneticPr fontId="8" type="noConversion"/>
  </si>
  <si>
    <t>타이머</t>
    <phoneticPr fontId="8" type="noConversion"/>
  </si>
  <si>
    <t>타이머 UI</t>
    <phoneticPr fontId="8" type="noConversion"/>
  </si>
  <si>
    <t>타이머가 정상적으로 화면에 출력되는지 확인한다</t>
    <phoneticPr fontId="8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</si>
  <si>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  <charset val="129"/>
      </rPr>
      <t xml:space="preserve">  </t>
    </r>
    <r>
      <rPr>
        <sz val="9"/>
        <rFont val="Arial Unicode MS"/>
        <family val="2"/>
        <charset val="129"/>
      </rPr>
      <t>실행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</si>
  <si>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방을 생성하고 게임을 시작
2.  인게임 화면에서 우측 상단에 타이머가 표시되는지 확인</t>
    </r>
    <phoneticPr fontId="8" type="noConversion"/>
  </si>
  <si>
    <t>타이머가 정상적으로 출력된다</t>
    <phoneticPr fontId="8" type="noConversion"/>
  </si>
  <si>
    <t>타이머의 시간이 정상적으로 줄어드는지 확인한다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</si>
  <si>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방을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생성 후 게임을 진행
2.  타이머가 1초씩 줄어드는지 확인</t>
    </r>
    <phoneticPr fontId="8" type="noConversion"/>
  </si>
  <si>
    <t>타이머의 시간이 1초씩 정상적으로 줄어든다</t>
    <phoneticPr fontId="8" type="noConversion"/>
  </si>
  <si>
    <r>
      <t>1. NPC</t>
    </r>
    <r>
      <rPr>
        <sz val="9"/>
        <rFont val="Arial Unicode MS"/>
        <family val="2"/>
        <charset val="129"/>
      </rPr>
      <t>와 대화 및 아이템을 사용해 호감도를 올린다</t>
    </r>
    <phoneticPr fontId="8" type="noConversion"/>
  </si>
  <si>
    <t>호감도가 일정수치에 도달하면 해당 플레이어에게 귀속된다</t>
    <phoneticPr fontId="8" type="noConversion"/>
  </si>
  <si>
    <t>호감도가 일정 수치에 도달하면 플레이어에게 귀속된다</t>
    <phoneticPr fontId="8" type="noConversion"/>
  </si>
  <si>
    <t>History</t>
    <phoneticPr fontId="24" type="noConversion"/>
  </si>
  <si>
    <t>Confirm date</t>
    <phoneticPr fontId="24" type="noConversion"/>
  </si>
  <si>
    <t>Writer</t>
    <phoneticPr fontId="24" type="noConversion"/>
  </si>
  <si>
    <t>한재원</t>
    <phoneticPr fontId="24" type="noConversion"/>
  </si>
  <si>
    <t>Importance</t>
    <phoneticPr fontId="24" type="noConversion"/>
  </si>
  <si>
    <t>Mid</t>
  </si>
  <si>
    <t>Device</t>
    <phoneticPr fontId="24" type="noConversion"/>
  </si>
  <si>
    <t>PC(Engine)</t>
  </si>
  <si>
    <t>Detail</t>
    <phoneticPr fontId="24" type="noConversion"/>
  </si>
  <si>
    <t>Comment</t>
    <phoneticPr fontId="24" type="noConversion"/>
  </si>
  <si>
    <t>Screen shot</t>
    <phoneticPr fontId="24" type="noConversion"/>
  </si>
  <si>
    <t>P/F</t>
    <phoneticPr fontId="24" type="noConversion"/>
  </si>
  <si>
    <t>Issue</t>
    <phoneticPr fontId="24" type="noConversion"/>
  </si>
  <si>
    <t>최소화</t>
    <phoneticPr fontId="8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</si>
  <si>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8" type="noConversion"/>
  </si>
  <si>
    <t>앞으로 가진다</t>
    <phoneticPr fontId="8" type="noConversion"/>
  </si>
  <si>
    <t>Pass</t>
    <phoneticPr fontId="8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</si>
  <si>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</si>
  <si>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8" type="noConversion"/>
  </si>
  <si>
    <t>뒤로 가진다</t>
    <phoneticPr fontId="8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</si>
  <si>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</si>
  <si>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8" type="noConversion"/>
  </si>
  <si>
    <t>왼쪽으로 가진다</t>
    <phoneticPr fontId="8" type="noConversion"/>
  </si>
  <si>
    <r>
      <t>D(</t>
    </r>
    <r>
      <rPr>
        <sz val="9"/>
        <rFont val="맑은 고딕"/>
        <family val="3"/>
        <charset val="129"/>
      </rPr>
      <t>오른쪽으로가기</t>
    </r>
    <r>
      <rPr>
        <sz val="9"/>
        <rFont val="돋움"/>
        <family val="2"/>
        <charset val="129"/>
      </rPr>
      <t>) 를 누른다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</si>
  <si>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8" type="noConversion"/>
  </si>
  <si>
    <t>오른쪽으로 가진다</t>
    <phoneticPr fontId="8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</si>
  <si>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</si>
  <si>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8" type="noConversion"/>
  </si>
  <si>
    <t>점프가 된다</t>
    <phoneticPr fontId="8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</si>
  <si>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</si>
  <si>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8" type="noConversion"/>
  </si>
  <si>
    <t>이동 속도가 빨라진다</t>
    <phoneticPr fontId="8" type="noConversion"/>
  </si>
  <si>
    <t>각 NPC의 이름이 NPC 오브젝트 상단에 표시된다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</si>
  <si>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게임을 진행</t>
    </r>
    <r>
      <rPr>
        <sz val="9"/>
        <rFont val="Verdana"/>
        <family val="2"/>
      </rPr>
      <t xml:space="preserve">
2. </t>
    </r>
    <r>
      <rPr>
        <sz val="9"/>
        <rFont val="Arial Unicode MS"/>
        <family val="2"/>
      </rPr>
      <t>NPC</t>
    </r>
    <r>
      <rPr>
        <sz val="9"/>
        <rFont val="Arial Unicode MS"/>
        <family val="2"/>
        <charset val="129"/>
      </rPr>
      <t>의 근처로 가기
3. NPC의 이름이 정상적으로 출력되는지 확인</t>
    </r>
    <phoneticPr fontId="8" type="noConversion"/>
  </si>
  <si>
    <t>각 NPC의 이름이 정상적으로 화면에 표시된다</t>
    <phoneticPr fontId="8" type="noConversion"/>
  </si>
  <si>
    <t>기타</t>
    <phoneticPr fontId="8" type="noConversion"/>
  </si>
  <si>
    <t>맵 관련</t>
    <phoneticPr fontId="8" type="noConversion"/>
  </si>
  <si>
    <t>맵이 정상적으로 화면에 보이는지 확인한다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</si>
  <si>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게임을 시작
2.  배치된 맵들이 정상적으로 보이는지 확인</t>
    </r>
    <phoneticPr fontId="8" type="noConversion"/>
  </si>
  <si>
    <t>모든 맵이 정상적으로 화면에 표시된다</t>
    <phoneticPr fontId="8" type="noConversion"/>
  </si>
  <si>
    <t>맵 내에 뚫리는 곳이 있는지 확인한다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</si>
  <si>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게임을 진행
2.  맵을 돌아다니기
3.  맵의 모든 구석, 사물 등 뚫리는지 확인</t>
    </r>
    <phoneticPr fontId="8" type="noConversion"/>
  </si>
  <si>
    <t>맵 내에 뚫리는 장소가 없다</t>
    <phoneticPr fontId="8" type="noConversion"/>
  </si>
  <si>
    <r>
      <t xml:space="preserve">NPC </t>
    </r>
    <r>
      <rPr>
        <sz val="9"/>
        <rFont val="Arial Unicode MS"/>
        <family val="2"/>
        <charset val="129"/>
      </rPr>
      <t>대화</t>
    </r>
    <phoneticPr fontId="8" type="noConversion"/>
  </si>
  <si>
    <t>특정 수치만큼 호감도가 증가한다</t>
    <phoneticPr fontId="8" type="noConversion"/>
  </si>
  <si>
    <t>특정 수치만큼 호감도가 감소한다</t>
    <phoneticPr fontId="8" type="noConversion"/>
  </si>
  <si>
    <t>NPC와 일반 대화를 한다</t>
    <phoneticPr fontId="8" type="noConversion"/>
  </si>
  <si>
    <t>NPC와 대화가 중복 실행되는지 확인한다</t>
    <phoneticPr fontId="8" type="noConversion"/>
  </si>
  <si>
    <t>대화창 텍스트가 정상적으로 출력되는지 확인한다</t>
    <phoneticPr fontId="8" type="noConversion"/>
  </si>
  <si>
    <t>대화 중 다음 대화로 넘어간다</t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</si>
  <si>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선물</t>
    </r>
    <r>
      <rPr>
        <sz val="9"/>
        <rFont val="Verdana"/>
        <family val="2"/>
      </rPr>
      <t>/</t>
    </r>
    <r>
      <rPr>
        <sz val="9"/>
        <rFont val="Arial Unicode MS"/>
        <family val="2"/>
        <charset val="129"/>
      </rPr>
      <t>퀘스트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등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다른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상호작용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조건이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없는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상태</t>
    </r>
    <r>
      <rPr>
        <sz val="9"/>
        <rFont val="Verdana"/>
        <family val="2"/>
      </rPr>
      <t xml:space="preserve">
2. NPC</t>
    </r>
    <r>
      <rPr>
        <sz val="9"/>
        <rFont val="Arial Unicode MS"/>
        <family val="2"/>
        <charset val="129"/>
      </rPr>
      <t>에게</t>
    </r>
    <r>
      <rPr>
        <sz val="9"/>
        <rFont val="Verdana"/>
        <family val="2"/>
      </rPr>
      <t xml:space="preserve"> 'E' </t>
    </r>
    <r>
      <rPr>
        <sz val="9"/>
        <rFont val="Arial Unicode MS"/>
        <family val="2"/>
        <charset val="129"/>
      </rPr>
      <t>키로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상호작용</t>
    </r>
    <phoneticPr fontId="8" type="noConversion"/>
  </si>
  <si>
    <r>
      <t>1. NPC</t>
    </r>
    <r>
      <rPr>
        <sz val="9"/>
        <rFont val="Arial Unicode MS"/>
        <family val="2"/>
        <charset val="129"/>
      </rPr>
      <t>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대화가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진행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중일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때</t>
    </r>
    <r>
      <rPr>
        <sz val="9"/>
        <rFont val="Verdana"/>
        <family val="2"/>
      </rPr>
      <t xml:space="preserve">
2. 'E' </t>
    </r>
    <r>
      <rPr>
        <sz val="9"/>
        <rFont val="Arial Unicode MS"/>
        <family val="2"/>
        <charset val="129"/>
      </rPr>
      <t>키를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반복적으로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phoneticPr fontId="8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</si>
  <si>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W키를 입력</t>
    </r>
    <phoneticPr fontId="8" type="noConversion"/>
  </si>
  <si>
    <r>
      <t>1. NPC</t>
    </r>
    <r>
      <rPr>
        <sz val="9"/>
        <rFont val="Arial Unicode MS"/>
        <family val="2"/>
        <charset val="129"/>
      </rPr>
      <t>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대화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시작</t>
    </r>
    <r>
      <rPr>
        <sz val="9"/>
        <rFont val="Verdana"/>
        <family val="2"/>
      </rPr>
      <t xml:space="preserve">
2. Start Dialogue</t>
    </r>
    <r>
      <rPr>
        <sz val="9"/>
        <rFont val="Arial Unicode MS"/>
        <family val="2"/>
        <charset val="129"/>
      </rPr>
      <t>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설정된</t>
    </r>
    <r>
      <rPr>
        <sz val="9"/>
        <rFont val="Verdana"/>
        <family val="2"/>
      </rPr>
      <t xml:space="preserve"> Sentence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표시되는지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확인</t>
    </r>
    <phoneticPr fontId="8" type="noConversion"/>
  </si>
  <si>
    <r>
      <t xml:space="preserve">1. </t>
    </r>
    <r>
      <rPr>
        <sz val="9"/>
        <rFont val="Arial Unicode MS"/>
        <family val="2"/>
        <charset val="129"/>
      </rPr>
      <t>선택지가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없는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대화에서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스페이스바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</t>
    </r>
    <r>
      <rPr>
        <sz val="9"/>
        <rFont val="Arial Unicode MS"/>
        <family val="2"/>
        <charset val="129"/>
      </rPr>
      <t>선택지가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있는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대화에서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선택지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버튼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8" type="noConversion"/>
  </si>
  <si>
    <t>일반 대화창이 출력된다</t>
    <phoneticPr fontId="8" type="noConversion"/>
  </si>
  <si>
    <t>대화 중 반복 실행 되지 않는다</t>
    <phoneticPr fontId="8" type="noConversion"/>
  </si>
  <si>
    <t>대화내용 및  NPC 이름 등 정상적으로 출력된다</t>
    <phoneticPr fontId="8" type="noConversion"/>
  </si>
  <si>
    <t>정상적으로 다음 대화 및 대화 종료가 된다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</si>
</sst>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sz val="9"/>
      <name val="Verdana"/>
      <family val="3"/>
    </font>
    <font>
      <sz val="9"/>
      <name val="Arial Unicode MS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b/>
      <sz val="12"/>
      <color theme="1"/>
      <name val="Calibri"/>
      <family val="2"/>
    </font>
    <font>
      <sz val="8"/>
      <name val="맑은 고딕"/>
      <family val="2"/>
      <charset val="129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 Unicode MS"/>
      <family val="2"/>
      <charset val="129"/>
    </font>
    <font>
      <sz val="9"/>
      <color theme="1"/>
      <name val="맑은 고딕"/>
      <family val="3"/>
      <charset val="129"/>
      <scheme val="minor"/>
    </font>
    <font>
      <u/>
      <sz val="10"/>
      <color theme="10"/>
      <name val="Arial"/>
      <family val="2"/>
    </font>
    <font>
      <sz val="11"/>
      <color theme="0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Arial Unicode MS"/>
      <family val="2"/>
    </font>
    <font>
      <sz val="11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</cellStyleXfs>
  <cellXfs count="122"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0" borderId="0" xfId="0" applyFont="1" applyAlignment="1">
      <alignment wrapText="1"/>
    </xf>
    <xf numFmtId="9" fontId="7" fillId="0" borderId="0" xfId="0" applyNumberFormat="1" applyFont="1" applyAlignment="1">
      <alignment wrapText="1"/>
    </xf>
    <xf numFmtId="0" fontId="7" fillId="5" borderId="0" xfId="0" applyFont="1" applyFill="1" applyAlignment="1">
      <alignment wrapText="1"/>
    </xf>
    <xf numFmtId="9" fontId="7" fillId="5" borderId="0" xfId="0" applyNumberFormat="1" applyFont="1" applyFill="1" applyAlignment="1">
      <alignment wrapText="1"/>
    </xf>
    <xf numFmtId="0" fontId="7" fillId="6" borderId="0" xfId="0" applyFont="1" applyFill="1" applyAlignment="1">
      <alignment wrapText="1"/>
    </xf>
    <xf numFmtId="10" fontId="7" fillId="6" borderId="0" xfId="0" applyNumberFormat="1" applyFont="1" applyFill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9" fillId="0" borderId="1" xfId="2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5" fillId="9" borderId="8" xfId="0" applyFont="1" applyFill="1" applyBorder="1" applyAlignment="1">
      <alignment horizontal="center" vertical="center"/>
    </xf>
    <xf numFmtId="0" fontId="25" fillId="9" borderId="10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1" fillId="7" borderId="1" xfId="1" applyBorder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4" fontId="26" fillId="0" borderId="8" xfId="0" applyNumberFormat="1" applyFont="1" applyBorder="1" applyAlignment="1">
      <alignment horizontal="center" vertical="center"/>
    </xf>
    <xf numFmtId="14" fontId="26" fillId="0" borderId="9" xfId="0" applyNumberFormat="1" applyFont="1" applyBorder="1" applyAlignment="1">
      <alignment horizontal="center" vertical="center"/>
    </xf>
    <xf numFmtId="14" fontId="26" fillId="0" borderId="10" xfId="0" applyNumberFormat="1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30" fillId="10" borderId="1" xfId="1" applyFont="1" applyFill="1" applyBorder="1" applyAlignment="1">
      <alignment horizontal="center" vertical="center"/>
    </xf>
    <xf numFmtId="0" fontId="33" fillId="10" borderId="1" xfId="1" applyFont="1" applyFill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" fillId="7" borderId="8" xfId="1" applyBorder="1" applyAlignment="1">
      <alignment horizontal="center" vertical="center"/>
    </xf>
    <xf numFmtId="0" fontId="1" fillId="7" borderId="9" xfId="1" applyBorder="1" applyAlignment="1">
      <alignment horizontal="center" vertical="center"/>
    </xf>
    <xf numFmtId="0" fontId="1" fillId="7" borderId="10" xfId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3" fillId="10" borderId="8" xfId="1" applyFont="1" applyFill="1" applyBorder="1" applyAlignment="1">
      <alignment horizontal="center" vertical="center"/>
    </xf>
    <xf numFmtId="0" fontId="33" fillId="10" borderId="9" xfId="1" applyFont="1" applyFill="1" applyBorder="1" applyAlignment="1">
      <alignment horizontal="center" vertical="center"/>
    </xf>
    <xf numFmtId="0" fontId="33" fillId="10" borderId="10" xfId="1" applyFont="1" applyFill="1" applyBorder="1" applyAlignment="1">
      <alignment horizontal="center" vertical="center"/>
    </xf>
    <xf numFmtId="0" fontId="30" fillId="10" borderId="8" xfId="1" applyFont="1" applyFill="1" applyBorder="1" applyAlignment="1">
      <alignment horizontal="center" vertical="center"/>
    </xf>
  </cellXfs>
  <cellStyles count="3">
    <cellStyle name="60% - 강조색1" xfId="1" builtinId="32"/>
    <cellStyle name="표준" xfId="0" builtinId="0"/>
    <cellStyle name="하이퍼링크" xfId="2" builtinId="8"/>
  </cellStyles>
  <dxfs count="82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68" Type="http://schemas.microsoft.com/office/2006/relationships/vbaProject" Target="vbaProject.bin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eetMetadata" Target="metadata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8"/>
  <sheetViews>
    <sheetView tabSelected="1" zoomScale="130" zoomScaleNormal="130" workbookViewId="0">
      <pane ySplit="1" topLeftCell="A34" activePane="bottomLeft" state="frozen"/>
      <selection pane="bottomLeft" activeCell="H44" sqref="H44"/>
    </sheetView>
  </sheetViews>
  <sheetFormatPr defaultColWidth="12.5703125" defaultRowHeight="12.75" customHeight="1" x14ac:dyDescent="0.2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33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 ht="13.5" x14ac:dyDescent="0.2">
      <c r="A2" s="49">
        <f t="shared" ref="A2:A33" si="0">HYPERLINK("#'" &amp; (ROW()-1) &amp; "'!A1", ROW()-1)</f>
        <v>1</v>
      </c>
      <c r="B2" s="62" t="s">
        <v>37</v>
      </c>
      <c r="C2" s="10" t="s">
        <v>12</v>
      </c>
      <c r="D2" s="10" t="s">
        <v>11</v>
      </c>
      <c r="E2" s="18" t="s">
        <v>38</v>
      </c>
      <c r="F2" s="10"/>
      <c r="G2" s="10" t="s">
        <v>31</v>
      </c>
      <c r="H2" s="18" t="s">
        <v>32</v>
      </c>
      <c r="I2" s="19" t="s">
        <v>99</v>
      </c>
      <c r="J2" s="10"/>
      <c r="K2" s="10"/>
      <c r="L2" s="10" t="str">
        <f t="shared" ref="L2:L4" si="1">IF(B2="",L1,B2)</f>
        <v>게임실행</v>
      </c>
    </row>
    <row r="3" spans="1:12" ht="12.75" customHeight="1" x14ac:dyDescent="0.2">
      <c r="A3" s="40">
        <f t="shared" si="0"/>
        <v>2</v>
      </c>
      <c r="B3" s="59"/>
      <c r="C3" s="61" t="s">
        <v>14</v>
      </c>
      <c r="D3" s="46" t="s">
        <v>15</v>
      </c>
      <c r="E3" s="47" t="s">
        <v>36</v>
      </c>
      <c r="F3" s="46"/>
      <c r="G3" s="46" t="s">
        <v>70</v>
      </c>
      <c r="H3" s="46" t="s">
        <v>124</v>
      </c>
      <c r="I3" s="41" t="s">
        <v>99</v>
      </c>
      <c r="J3" s="46"/>
      <c r="K3" s="46"/>
      <c r="L3" s="10" t="str">
        <f t="shared" si="1"/>
        <v>게임실행</v>
      </c>
    </row>
    <row r="4" spans="1:12" ht="24" x14ac:dyDescent="0.2">
      <c r="A4" s="40">
        <f t="shared" si="0"/>
        <v>3</v>
      </c>
      <c r="B4" s="59"/>
      <c r="C4" s="59"/>
      <c r="D4" s="48" t="s">
        <v>206</v>
      </c>
      <c r="E4" s="46" t="s">
        <v>19</v>
      </c>
      <c r="F4" s="46"/>
      <c r="G4" s="46" t="s">
        <v>35</v>
      </c>
      <c r="H4" s="47" t="s">
        <v>42</v>
      </c>
      <c r="I4" s="41" t="s">
        <v>99</v>
      </c>
      <c r="J4" s="46"/>
      <c r="K4" s="46"/>
      <c r="L4" s="40" t="str">
        <f t="shared" si="1"/>
        <v>게임실행</v>
      </c>
    </row>
    <row r="5" spans="1:12" ht="12.75" customHeight="1" thickBot="1" x14ac:dyDescent="0.25">
      <c r="A5" s="40">
        <f t="shared" si="0"/>
        <v>4</v>
      </c>
      <c r="B5" s="60"/>
      <c r="C5" s="60"/>
      <c r="D5" s="12" t="s">
        <v>21</v>
      </c>
      <c r="E5" s="12" t="s">
        <v>22</v>
      </c>
      <c r="F5" s="12"/>
      <c r="G5" s="12" t="s">
        <v>43</v>
      </c>
      <c r="H5" s="26" t="s">
        <v>34</v>
      </c>
      <c r="I5" s="27" t="s">
        <v>99</v>
      </c>
      <c r="J5" s="12"/>
      <c r="K5" s="12"/>
      <c r="L5" s="40" t="e">
        <f>IF(B5="",#REF!,B5)</f>
        <v>#REF!</v>
      </c>
    </row>
    <row r="6" spans="1:12" ht="13.5" x14ac:dyDescent="0.2">
      <c r="A6" s="40">
        <f t="shared" si="0"/>
        <v>5</v>
      </c>
      <c r="B6" s="58" t="s">
        <v>23</v>
      </c>
      <c r="C6" s="63" t="s">
        <v>137</v>
      </c>
      <c r="D6" s="67" t="s">
        <v>171</v>
      </c>
      <c r="E6" s="28" t="s">
        <v>86</v>
      </c>
      <c r="F6" s="13" t="s">
        <v>114</v>
      </c>
      <c r="G6" s="13" t="s">
        <v>89</v>
      </c>
      <c r="H6" s="29" t="s">
        <v>92</v>
      </c>
      <c r="I6" s="19" t="s">
        <v>125</v>
      </c>
      <c r="J6" s="13"/>
      <c r="K6" s="13"/>
      <c r="L6" s="13" t="str">
        <f t="shared" ref="L6:L10" si="2">IF(B6="",L5,B6)</f>
        <v>메뉴기능</v>
      </c>
    </row>
    <row r="7" spans="1:12" ht="13.5" x14ac:dyDescent="0.2">
      <c r="A7" s="40">
        <f t="shared" si="0"/>
        <v>6</v>
      </c>
      <c r="B7" s="59"/>
      <c r="C7" s="59"/>
      <c r="D7" s="68"/>
      <c r="E7" s="20" t="s">
        <v>87</v>
      </c>
      <c r="F7" s="10" t="s">
        <v>114</v>
      </c>
      <c r="G7" s="10" t="s">
        <v>90</v>
      </c>
      <c r="H7" s="21" t="s">
        <v>93</v>
      </c>
      <c r="I7" s="19" t="s">
        <v>125</v>
      </c>
      <c r="J7" s="10"/>
      <c r="K7" s="10"/>
      <c r="L7" s="10" t="str">
        <f t="shared" si="2"/>
        <v>메뉴기능</v>
      </c>
    </row>
    <row r="8" spans="1:12" ht="13.5" x14ac:dyDescent="0.2">
      <c r="A8" s="40">
        <f t="shared" si="0"/>
        <v>7</v>
      </c>
      <c r="B8" s="59"/>
      <c r="C8" s="59"/>
      <c r="D8" s="68"/>
      <c r="E8" s="20" t="s">
        <v>88</v>
      </c>
      <c r="F8" s="10" t="s">
        <v>114</v>
      </c>
      <c r="G8" s="20" t="s">
        <v>91</v>
      </c>
      <c r="H8" s="20" t="s">
        <v>94</v>
      </c>
      <c r="I8" s="19" t="s">
        <v>125</v>
      </c>
      <c r="J8" s="10"/>
      <c r="K8" s="10"/>
      <c r="L8" s="10" t="str">
        <f t="shared" si="2"/>
        <v>메뉴기능</v>
      </c>
    </row>
    <row r="9" spans="1:12" ht="12.75" customHeight="1" x14ac:dyDescent="0.2">
      <c r="A9" s="40">
        <f t="shared" si="0"/>
        <v>8</v>
      </c>
      <c r="B9" s="59"/>
      <c r="C9" s="59"/>
      <c r="D9" s="66" t="s">
        <v>172</v>
      </c>
      <c r="E9" s="20" t="s">
        <v>97</v>
      </c>
      <c r="F9" s="10" t="s">
        <v>114</v>
      </c>
      <c r="G9" s="10" t="s">
        <v>161</v>
      </c>
      <c r="H9" s="20" t="s">
        <v>98</v>
      </c>
      <c r="I9" s="19" t="s">
        <v>125</v>
      </c>
      <c r="J9" s="10"/>
      <c r="K9" s="10"/>
      <c r="L9" s="10" t="str">
        <f t="shared" si="2"/>
        <v>메뉴기능</v>
      </c>
    </row>
    <row r="10" spans="1:12" ht="13.5" x14ac:dyDescent="0.2">
      <c r="A10" s="40">
        <f t="shared" si="0"/>
        <v>9</v>
      </c>
      <c r="B10" s="59"/>
      <c r="C10" s="59"/>
      <c r="D10" s="59"/>
      <c r="E10" s="10" t="s">
        <v>96</v>
      </c>
      <c r="F10" s="10" t="s">
        <v>114</v>
      </c>
      <c r="G10" s="10" t="s">
        <v>100</v>
      </c>
      <c r="H10" s="20" t="s">
        <v>101</v>
      </c>
      <c r="I10" s="19" t="s">
        <v>125</v>
      </c>
      <c r="J10" s="10"/>
      <c r="K10" s="10"/>
      <c r="L10" s="10" t="str">
        <f t="shared" si="2"/>
        <v>메뉴기능</v>
      </c>
    </row>
    <row r="11" spans="1:12" ht="40.5" x14ac:dyDescent="0.2">
      <c r="A11" s="40">
        <f t="shared" si="0"/>
        <v>10</v>
      </c>
      <c r="B11" s="59"/>
      <c r="C11" s="59"/>
      <c r="D11" s="73" t="s">
        <v>95</v>
      </c>
      <c r="E11" s="36" t="s">
        <v>127</v>
      </c>
      <c r="F11" s="38" t="s">
        <v>128</v>
      </c>
      <c r="G11" s="35" t="s">
        <v>162</v>
      </c>
      <c r="H11" s="38" t="s">
        <v>142</v>
      </c>
      <c r="I11" s="37" t="s">
        <v>126</v>
      </c>
      <c r="J11" s="35" t="s">
        <v>129</v>
      </c>
      <c r="K11" s="35"/>
      <c r="L11" s="35" t="str">
        <f>IF(B11="",L10,B11)</f>
        <v>메뉴기능</v>
      </c>
    </row>
    <row r="12" spans="1:12" ht="27" x14ac:dyDescent="0.2">
      <c r="A12" s="40">
        <f t="shared" si="0"/>
        <v>11</v>
      </c>
      <c r="B12" s="59"/>
      <c r="C12" s="59"/>
      <c r="D12" s="73"/>
      <c r="E12" s="38" t="s">
        <v>102</v>
      </c>
      <c r="F12" s="35" t="s">
        <v>115</v>
      </c>
      <c r="G12" s="35" t="s">
        <v>163</v>
      </c>
      <c r="H12" s="38" t="s">
        <v>105</v>
      </c>
      <c r="I12" s="37" t="s">
        <v>125</v>
      </c>
      <c r="J12" s="35"/>
      <c r="K12" s="35"/>
      <c r="L12" s="35" t="str">
        <f>IF(B12="",L10,B12)</f>
        <v>메뉴기능</v>
      </c>
    </row>
    <row r="13" spans="1:12" ht="27.75" thickBot="1" x14ac:dyDescent="0.25">
      <c r="A13" s="40">
        <f t="shared" si="0"/>
        <v>12</v>
      </c>
      <c r="B13" s="60"/>
      <c r="C13" s="64"/>
      <c r="D13" s="74"/>
      <c r="E13" s="30" t="s">
        <v>103</v>
      </c>
      <c r="F13" s="12" t="s">
        <v>115</v>
      </c>
      <c r="G13" s="12" t="s">
        <v>164</v>
      </c>
      <c r="H13" s="31" t="s">
        <v>104</v>
      </c>
      <c r="I13" s="27" t="s">
        <v>125</v>
      </c>
      <c r="J13" s="12"/>
      <c r="K13" s="12"/>
      <c r="L13" s="12" t="str">
        <f>IF(B13="",L11,B13)</f>
        <v>메뉴기능</v>
      </c>
    </row>
    <row r="14" spans="1:12" ht="13.5" x14ac:dyDescent="0.2">
      <c r="A14" s="40">
        <f t="shared" si="0"/>
        <v>13</v>
      </c>
      <c r="B14" s="65" t="s">
        <v>24</v>
      </c>
      <c r="C14" s="75" t="s">
        <v>40</v>
      </c>
      <c r="D14" s="55" t="s">
        <v>39</v>
      </c>
      <c r="E14" s="24" t="s">
        <v>41</v>
      </c>
      <c r="F14" s="11" t="s">
        <v>113</v>
      </c>
      <c r="G14" s="11" t="s">
        <v>71</v>
      </c>
      <c r="H14" s="24" t="s">
        <v>45</v>
      </c>
      <c r="I14" s="25" t="s">
        <v>125</v>
      </c>
      <c r="J14" s="11"/>
      <c r="K14" s="11"/>
      <c r="L14" s="39" t="str">
        <f>IF(B14="",#REF!,B14)</f>
        <v>인게임기능</v>
      </c>
    </row>
    <row r="15" spans="1:12" ht="13.5" x14ac:dyDescent="0.2">
      <c r="A15" s="40">
        <f t="shared" si="0"/>
        <v>14</v>
      </c>
      <c r="B15" s="61"/>
      <c r="C15" s="54"/>
      <c r="D15" s="66"/>
      <c r="E15" s="21" t="s">
        <v>49</v>
      </c>
      <c r="F15" s="10" t="s">
        <v>113</v>
      </c>
      <c r="G15" s="10" t="s">
        <v>72</v>
      </c>
      <c r="H15" s="21" t="s">
        <v>50</v>
      </c>
      <c r="I15" s="19" t="s">
        <v>125</v>
      </c>
      <c r="J15" s="10"/>
      <c r="K15" s="10"/>
      <c r="L15" s="10" t="str">
        <f t="shared" ref="L15:L54" si="3">IF(B15="",L14,B15)</f>
        <v>인게임기능</v>
      </c>
    </row>
    <row r="16" spans="1:12" ht="13.5" x14ac:dyDescent="0.2">
      <c r="A16" s="40">
        <f t="shared" si="0"/>
        <v>15</v>
      </c>
      <c r="B16" s="61"/>
      <c r="C16" s="54"/>
      <c r="D16" s="66"/>
      <c r="E16" s="21" t="s">
        <v>53</v>
      </c>
      <c r="F16" s="10" t="s">
        <v>113</v>
      </c>
      <c r="G16" s="10" t="s">
        <v>73</v>
      </c>
      <c r="H16" s="20" t="s">
        <v>51</v>
      </c>
      <c r="I16" s="19" t="s">
        <v>125</v>
      </c>
      <c r="J16" s="10"/>
      <c r="K16" s="10"/>
      <c r="L16" s="10" t="str">
        <f t="shared" si="3"/>
        <v>인게임기능</v>
      </c>
    </row>
    <row r="17" spans="1:12" ht="27" x14ac:dyDescent="0.2">
      <c r="A17" s="40">
        <f t="shared" si="0"/>
        <v>16</v>
      </c>
      <c r="B17" s="61"/>
      <c r="C17" s="54"/>
      <c r="D17" s="66"/>
      <c r="E17" s="21" t="s">
        <v>52</v>
      </c>
      <c r="F17" s="10" t="s">
        <v>113</v>
      </c>
      <c r="G17" s="10" t="s">
        <v>74</v>
      </c>
      <c r="H17" s="20" t="s">
        <v>54</v>
      </c>
      <c r="I17" s="19" t="s">
        <v>125</v>
      </c>
      <c r="J17" s="10"/>
      <c r="K17" s="10"/>
      <c r="L17" s="10" t="str">
        <f t="shared" si="3"/>
        <v>인게임기능</v>
      </c>
    </row>
    <row r="18" spans="1:12" ht="27" x14ac:dyDescent="0.2">
      <c r="A18" s="40">
        <f t="shared" si="0"/>
        <v>17</v>
      </c>
      <c r="B18" s="61"/>
      <c r="C18" s="54"/>
      <c r="D18" s="66"/>
      <c r="E18" s="20" t="s">
        <v>44</v>
      </c>
      <c r="F18" s="10" t="s">
        <v>113</v>
      </c>
      <c r="G18" s="10" t="s">
        <v>75</v>
      </c>
      <c r="H18" s="10" t="s">
        <v>67</v>
      </c>
      <c r="I18" s="19" t="s">
        <v>125</v>
      </c>
      <c r="J18" s="10"/>
      <c r="K18" s="10"/>
      <c r="L18" s="10" t="str">
        <f t="shared" si="3"/>
        <v>인게임기능</v>
      </c>
    </row>
    <row r="19" spans="1:12" ht="27" x14ac:dyDescent="0.2">
      <c r="A19" s="40">
        <f t="shared" si="0"/>
        <v>18</v>
      </c>
      <c r="B19" s="61"/>
      <c r="C19" s="54"/>
      <c r="D19" s="66"/>
      <c r="E19" s="20" t="s">
        <v>46</v>
      </c>
      <c r="F19" s="10" t="s">
        <v>113</v>
      </c>
      <c r="G19" s="10" t="s">
        <v>76</v>
      </c>
      <c r="H19" s="20" t="s">
        <v>57</v>
      </c>
      <c r="I19" s="19" t="s">
        <v>125</v>
      </c>
      <c r="J19" s="10"/>
      <c r="K19" s="10"/>
      <c r="L19" s="10" t="str">
        <f t="shared" si="3"/>
        <v>인게임기능</v>
      </c>
    </row>
    <row r="20" spans="1:12" ht="27" x14ac:dyDescent="0.2">
      <c r="A20" s="40">
        <f t="shared" si="0"/>
        <v>19</v>
      </c>
      <c r="B20" s="59"/>
      <c r="C20" s="54"/>
      <c r="D20" s="66"/>
      <c r="E20" s="20" t="s">
        <v>47</v>
      </c>
      <c r="F20" s="10" t="s">
        <v>113</v>
      </c>
      <c r="G20" s="10" t="s">
        <v>77</v>
      </c>
      <c r="H20" s="20" t="s">
        <v>48</v>
      </c>
      <c r="I20" s="19" t="s">
        <v>125</v>
      </c>
      <c r="J20" s="10"/>
      <c r="K20" s="10"/>
      <c r="L20" s="10" t="str">
        <f t="shared" si="3"/>
        <v>인게임기능</v>
      </c>
    </row>
    <row r="21" spans="1:12" ht="27" x14ac:dyDescent="0.2">
      <c r="A21" s="40">
        <f t="shared" si="0"/>
        <v>20</v>
      </c>
      <c r="B21" s="59"/>
      <c r="C21" s="54"/>
      <c r="D21" s="66"/>
      <c r="E21" s="20" t="s">
        <v>55</v>
      </c>
      <c r="F21" s="10" t="s">
        <v>113</v>
      </c>
      <c r="G21" s="10" t="s">
        <v>78</v>
      </c>
      <c r="H21" s="20" t="s">
        <v>56</v>
      </c>
      <c r="I21" s="19" t="s">
        <v>126</v>
      </c>
      <c r="J21" s="10" t="s">
        <v>129</v>
      </c>
      <c r="K21" s="10"/>
      <c r="L21" s="10" t="str">
        <f t="shared" si="3"/>
        <v>인게임기능</v>
      </c>
    </row>
    <row r="22" spans="1:12" ht="13.5" x14ac:dyDescent="0.2">
      <c r="A22" s="40">
        <f t="shared" si="0"/>
        <v>21</v>
      </c>
      <c r="B22" s="59"/>
      <c r="C22" s="54"/>
      <c r="D22" s="53" t="s">
        <v>59</v>
      </c>
      <c r="E22" s="20" t="s">
        <v>60</v>
      </c>
      <c r="F22" s="10" t="s">
        <v>113</v>
      </c>
      <c r="G22" s="10" t="s">
        <v>79</v>
      </c>
      <c r="H22" s="21" t="s">
        <v>61</v>
      </c>
      <c r="I22" s="19" t="s">
        <v>125</v>
      </c>
      <c r="J22" s="10"/>
      <c r="K22" s="10"/>
      <c r="L22" s="10" t="str">
        <f t="shared" si="3"/>
        <v>인게임기능</v>
      </c>
    </row>
    <row r="23" spans="1:12" ht="13.5" x14ac:dyDescent="0.2">
      <c r="A23" s="40">
        <f t="shared" si="0"/>
        <v>22</v>
      </c>
      <c r="B23" s="59"/>
      <c r="C23" s="54"/>
      <c r="D23" s="54"/>
      <c r="E23" s="21" t="s">
        <v>62</v>
      </c>
      <c r="F23" s="10" t="s">
        <v>113</v>
      </c>
      <c r="G23" s="10" t="s">
        <v>80</v>
      </c>
      <c r="H23" s="21" t="s">
        <v>63</v>
      </c>
      <c r="I23" s="19" t="s">
        <v>125</v>
      </c>
      <c r="J23" s="10"/>
      <c r="K23" s="10"/>
      <c r="L23" s="10" t="str">
        <f t="shared" si="3"/>
        <v>인게임기능</v>
      </c>
    </row>
    <row r="24" spans="1:12" ht="27" x14ac:dyDescent="0.2">
      <c r="A24" s="40">
        <f t="shared" si="0"/>
        <v>23</v>
      </c>
      <c r="B24" s="59"/>
      <c r="C24" s="54"/>
      <c r="D24" s="54"/>
      <c r="E24" s="21" t="s">
        <v>64</v>
      </c>
      <c r="F24" s="10" t="s">
        <v>113</v>
      </c>
      <c r="G24" s="10" t="s">
        <v>81</v>
      </c>
      <c r="H24" s="20" t="s">
        <v>68</v>
      </c>
      <c r="I24" s="19" t="s">
        <v>125</v>
      </c>
      <c r="J24" s="10"/>
      <c r="K24" s="10"/>
      <c r="L24" s="10" t="str">
        <f t="shared" si="3"/>
        <v>인게임기능</v>
      </c>
    </row>
    <row r="25" spans="1:12" ht="27" x14ac:dyDescent="0.2">
      <c r="A25" s="40">
        <f t="shared" si="0"/>
        <v>24</v>
      </c>
      <c r="B25" s="59"/>
      <c r="C25" s="54"/>
      <c r="D25" s="54"/>
      <c r="E25" s="20" t="s">
        <v>58</v>
      </c>
      <c r="F25" s="10" t="s">
        <v>113</v>
      </c>
      <c r="G25" s="10" t="s">
        <v>82</v>
      </c>
      <c r="H25" s="20" t="s">
        <v>65</v>
      </c>
      <c r="I25" s="19" t="s">
        <v>126</v>
      </c>
      <c r="J25" s="10" t="s">
        <v>129</v>
      </c>
      <c r="K25" s="10"/>
      <c r="L25" s="10" t="str">
        <f t="shared" si="3"/>
        <v>인게임기능</v>
      </c>
    </row>
    <row r="26" spans="1:12" ht="27" x14ac:dyDescent="0.2">
      <c r="A26" s="40">
        <f t="shared" si="0"/>
        <v>25</v>
      </c>
      <c r="B26" s="59"/>
      <c r="C26" s="54"/>
      <c r="D26" s="55"/>
      <c r="E26" s="20" t="s">
        <v>66</v>
      </c>
      <c r="F26" s="10" t="s">
        <v>113</v>
      </c>
      <c r="G26" s="10" t="s">
        <v>83</v>
      </c>
      <c r="H26" s="20" t="s">
        <v>69</v>
      </c>
      <c r="I26" s="19" t="s">
        <v>125</v>
      </c>
      <c r="J26" s="10"/>
      <c r="K26" s="10"/>
      <c r="L26" s="10" t="str">
        <f t="shared" si="3"/>
        <v>인게임기능</v>
      </c>
    </row>
    <row r="27" spans="1:12" ht="27" x14ac:dyDescent="0.2">
      <c r="A27" s="40">
        <f t="shared" si="0"/>
        <v>26</v>
      </c>
      <c r="B27" s="59"/>
      <c r="C27" s="54"/>
      <c r="D27" s="53" t="s">
        <v>84</v>
      </c>
      <c r="E27" s="36" t="s">
        <v>140</v>
      </c>
      <c r="F27" s="35" t="s">
        <v>113</v>
      </c>
      <c r="G27" s="35" t="s">
        <v>141</v>
      </c>
      <c r="H27" s="38" t="s">
        <v>139</v>
      </c>
      <c r="I27" s="37" t="s">
        <v>125</v>
      </c>
      <c r="J27" s="10"/>
      <c r="K27" s="10"/>
      <c r="L27" s="10" t="str">
        <f>IF(B27="",L26,B27)</f>
        <v>인게임기능</v>
      </c>
    </row>
    <row r="28" spans="1:12" ht="40.5" x14ac:dyDescent="0.2">
      <c r="A28" s="40">
        <f t="shared" si="0"/>
        <v>27</v>
      </c>
      <c r="B28" s="59"/>
      <c r="C28" s="54"/>
      <c r="D28" s="54"/>
      <c r="E28" s="36" t="s">
        <v>145</v>
      </c>
      <c r="F28" s="35" t="s">
        <v>113</v>
      </c>
      <c r="G28" s="35" t="s">
        <v>146</v>
      </c>
      <c r="H28" s="38" t="s">
        <v>237</v>
      </c>
      <c r="I28" s="37" t="s">
        <v>125</v>
      </c>
      <c r="J28" s="35"/>
      <c r="K28" s="35"/>
      <c r="L28" s="35" t="str">
        <f t="shared" si="3"/>
        <v>인게임기능</v>
      </c>
    </row>
    <row r="29" spans="1:12" ht="40.5" x14ac:dyDescent="0.2">
      <c r="A29" s="40">
        <f t="shared" si="0"/>
        <v>28</v>
      </c>
      <c r="B29" s="59"/>
      <c r="C29" s="54"/>
      <c r="D29" s="54"/>
      <c r="E29" s="36" t="s">
        <v>147</v>
      </c>
      <c r="F29" s="35" t="s">
        <v>113</v>
      </c>
      <c r="G29" s="35" t="s">
        <v>149</v>
      </c>
      <c r="H29" s="38" t="s">
        <v>238</v>
      </c>
      <c r="I29" s="37" t="s">
        <v>125</v>
      </c>
      <c r="J29" s="35"/>
      <c r="K29" s="35"/>
      <c r="L29" s="35" t="str">
        <f t="shared" si="3"/>
        <v>인게임기능</v>
      </c>
    </row>
    <row r="30" spans="1:12" ht="40.5" x14ac:dyDescent="0.2">
      <c r="A30" s="40">
        <f t="shared" si="0"/>
        <v>29</v>
      </c>
      <c r="B30" s="59"/>
      <c r="C30" s="54"/>
      <c r="D30" s="54"/>
      <c r="E30" s="36" t="s">
        <v>148</v>
      </c>
      <c r="F30" s="35" t="s">
        <v>113</v>
      </c>
      <c r="G30" s="35" t="s">
        <v>150</v>
      </c>
      <c r="H30" s="38" t="s">
        <v>151</v>
      </c>
      <c r="I30" s="37" t="s">
        <v>125</v>
      </c>
      <c r="J30" s="35"/>
      <c r="K30" s="35"/>
      <c r="L30" s="35" t="str">
        <f>IF(B30="",L28,B30)</f>
        <v>인게임기능</v>
      </c>
    </row>
    <row r="31" spans="1:12" ht="27" x14ac:dyDescent="0.2">
      <c r="A31" s="40">
        <f t="shared" si="0"/>
        <v>30</v>
      </c>
      <c r="B31" s="59"/>
      <c r="C31" s="54"/>
      <c r="D31" s="54"/>
      <c r="E31" s="36" t="s">
        <v>167</v>
      </c>
      <c r="F31" s="35" t="s">
        <v>143</v>
      </c>
      <c r="G31" s="35" t="s">
        <v>168</v>
      </c>
      <c r="H31" s="38" t="s">
        <v>170</v>
      </c>
      <c r="I31" s="37" t="s">
        <v>125</v>
      </c>
      <c r="J31" s="35"/>
      <c r="K31" s="35"/>
      <c r="L31" s="35" t="str">
        <f>IF(B31="",L28,B31)</f>
        <v>인게임기능</v>
      </c>
    </row>
    <row r="32" spans="1:12" ht="27" x14ac:dyDescent="0.2">
      <c r="A32" s="40">
        <f t="shared" si="0"/>
        <v>31</v>
      </c>
      <c r="B32" s="59"/>
      <c r="C32" s="54"/>
      <c r="D32" s="54"/>
      <c r="E32" s="36" t="s">
        <v>166</v>
      </c>
      <c r="F32" s="35" t="s">
        <v>113</v>
      </c>
      <c r="G32" s="35" t="s">
        <v>152</v>
      </c>
      <c r="H32" s="38" t="s">
        <v>169</v>
      </c>
      <c r="I32" s="37" t="s">
        <v>125</v>
      </c>
      <c r="J32" s="10"/>
      <c r="K32" s="10"/>
      <c r="L32" s="35" t="str">
        <f>IF(B32="",L29,B32)</f>
        <v>인게임기능</v>
      </c>
    </row>
    <row r="33" spans="1:12" ht="13.5" x14ac:dyDescent="0.2">
      <c r="A33" s="40">
        <f t="shared" si="0"/>
        <v>32</v>
      </c>
      <c r="B33" s="59"/>
      <c r="C33" s="54"/>
      <c r="D33" s="55"/>
      <c r="E33" s="38" t="s">
        <v>192</v>
      </c>
      <c r="F33" s="35" t="s">
        <v>143</v>
      </c>
      <c r="G33" s="35" t="s">
        <v>190</v>
      </c>
      <c r="H33" s="38" t="s">
        <v>191</v>
      </c>
      <c r="I33" s="37" t="s">
        <v>125</v>
      </c>
      <c r="J33" s="35"/>
      <c r="K33" s="35"/>
      <c r="L33" s="35" t="str">
        <f>IF(B33="",L30,B33)</f>
        <v>인게임기능</v>
      </c>
    </row>
    <row r="34" spans="1:12" ht="13.5" x14ac:dyDescent="0.2">
      <c r="A34" s="40">
        <f t="shared" ref="A34:A62" si="4">HYPERLINK("#'" &amp; (ROW()-1) &amp; "'!A1", ROW()-1)</f>
        <v>33</v>
      </c>
      <c r="B34" s="59"/>
      <c r="C34" s="54"/>
      <c r="D34" s="66" t="s">
        <v>85</v>
      </c>
      <c r="E34" s="20" t="s">
        <v>106</v>
      </c>
      <c r="F34" s="21" t="s">
        <v>112</v>
      </c>
      <c r="G34" s="10" t="s">
        <v>159</v>
      </c>
      <c r="H34" s="20" t="s">
        <v>108</v>
      </c>
      <c r="I34" s="19" t="s">
        <v>125</v>
      </c>
      <c r="J34" s="10"/>
      <c r="K34" s="10"/>
      <c r="L34" s="10" t="str">
        <f>IF(B34="",L32,B34)</f>
        <v>인게임기능</v>
      </c>
    </row>
    <row r="35" spans="1:12" ht="13.5" x14ac:dyDescent="0.2">
      <c r="A35" s="40">
        <f t="shared" si="4"/>
        <v>34</v>
      </c>
      <c r="B35" s="59"/>
      <c r="C35" s="54"/>
      <c r="D35" s="72"/>
      <c r="E35" s="20" t="s">
        <v>107</v>
      </c>
      <c r="F35" s="21" t="s">
        <v>112</v>
      </c>
      <c r="G35" s="10" t="s">
        <v>158</v>
      </c>
      <c r="H35" s="20" t="s">
        <v>109</v>
      </c>
      <c r="I35" s="19" t="s">
        <v>125</v>
      </c>
      <c r="J35" s="10"/>
      <c r="K35" s="10"/>
      <c r="L35" s="10" t="str">
        <f t="shared" si="3"/>
        <v>인게임기능</v>
      </c>
    </row>
    <row r="36" spans="1:12" ht="27" x14ac:dyDescent="0.2">
      <c r="A36" s="40">
        <f t="shared" si="4"/>
        <v>35</v>
      </c>
      <c r="B36" s="59"/>
      <c r="C36" s="54"/>
      <c r="D36" s="72"/>
      <c r="E36" s="20" t="s">
        <v>110</v>
      </c>
      <c r="F36" s="21" t="s">
        <v>112</v>
      </c>
      <c r="G36" s="10" t="s">
        <v>157</v>
      </c>
      <c r="H36" s="20" t="s">
        <v>120</v>
      </c>
      <c r="I36" s="19" t="s">
        <v>125</v>
      </c>
      <c r="J36" s="10"/>
      <c r="K36" s="10"/>
      <c r="L36" s="10" t="str">
        <f t="shared" si="3"/>
        <v>인게임기능</v>
      </c>
    </row>
    <row r="37" spans="1:12" ht="27" x14ac:dyDescent="0.2">
      <c r="A37" s="40">
        <f t="shared" si="4"/>
        <v>36</v>
      </c>
      <c r="B37" s="59"/>
      <c r="C37" s="54"/>
      <c r="D37" s="72"/>
      <c r="E37" s="20" t="s">
        <v>111</v>
      </c>
      <c r="F37" s="21" t="s">
        <v>112</v>
      </c>
      <c r="G37" s="10" t="s">
        <v>156</v>
      </c>
      <c r="H37" s="20" t="s">
        <v>119</v>
      </c>
      <c r="I37" s="19" t="s">
        <v>125</v>
      </c>
      <c r="J37" s="10"/>
      <c r="K37" s="10"/>
      <c r="L37" s="10" t="str">
        <f t="shared" si="3"/>
        <v>인게임기능</v>
      </c>
    </row>
    <row r="38" spans="1:12" ht="67.5" x14ac:dyDescent="0.2">
      <c r="A38" s="40">
        <f t="shared" si="4"/>
        <v>37</v>
      </c>
      <c r="B38" s="59"/>
      <c r="C38" s="54"/>
      <c r="D38" s="72"/>
      <c r="E38" s="20" t="s">
        <v>116</v>
      </c>
      <c r="F38" s="21" t="s">
        <v>112</v>
      </c>
      <c r="G38" s="10" t="s">
        <v>155</v>
      </c>
      <c r="H38" s="20" t="s">
        <v>121</v>
      </c>
      <c r="I38" s="19" t="s">
        <v>125</v>
      </c>
      <c r="J38" s="10"/>
      <c r="K38" s="10"/>
      <c r="L38" s="10" t="str">
        <f t="shared" si="3"/>
        <v>인게임기능</v>
      </c>
    </row>
    <row r="39" spans="1:12" ht="27" x14ac:dyDescent="0.2">
      <c r="A39" s="40">
        <f t="shared" si="4"/>
        <v>38</v>
      </c>
      <c r="B39" s="59"/>
      <c r="C39" s="54"/>
      <c r="D39" s="72"/>
      <c r="E39" s="20" t="s">
        <v>117</v>
      </c>
      <c r="F39" s="21" t="s">
        <v>112</v>
      </c>
      <c r="G39" s="10" t="s">
        <v>154</v>
      </c>
      <c r="H39" s="20" t="s">
        <v>122</v>
      </c>
      <c r="I39" s="19" t="s">
        <v>125</v>
      </c>
      <c r="J39" s="10"/>
      <c r="K39" s="10"/>
      <c r="L39" s="10" t="str">
        <f t="shared" si="3"/>
        <v>인게임기능</v>
      </c>
    </row>
    <row r="40" spans="1:12" ht="27" x14ac:dyDescent="0.2">
      <c r="A40" s="40">
        <f t="shared" si="4"/>
        <v>39</v>
      </c>
      <c r="B40" s="59"/>
      <c r="C40" s="54"/>
      <c r="D40" s="72"/>
      <c r="E40" s="20" t="s">
        <v>118</v>
      </c>
      <c r="F40" s="21" t="s">
        <v>112</v>
      </c>
      <c r="G40" s="10" t="s">
        <v>153</v>
      </c>
      <c r="H40" s="20" t="s">
        <v>123</v>
      </c>
      <c r="I40" s="19" t="s">
        <v>125</v>
      </c>
      <c r="J40" s="10"/>
      <c r="K40" s="10"/>
      <c r="L40" s="10" t="str">
        <f t="shared" si="3"/>
        <v>인게임기능</v>
      </c>
    </row>
    <row r="41" spans="1:12" ht="27" x14ac:dyDescent="0.2">
      <c r="A41" s="51">
        <f t="shared" si="4"/>
        <v>40</v>
      </c>
      <c r="B41" s="59"/>
      <c r="C41" s="54"/>
      <c r="D41" s="112" t="s">
        <v>236</v>
      </c>
      <c r="E41" s="50" t="s">
        <v>239</v>
      </c>
      <c r="F41" s="51" t="s">
        <v>143</v>
      </c>
      <c r="G41" s="51" t="s">
        <v>243</v>
      </c>
      <c r="H41" s="50" t="s">
        <v>248</v>
      </c>
      <c r="I41" s="41" t="s">
        <v>125</v>
      </c>
      <c r="J41" s="51"/>
      <c r="K41" s="51"/>
      <c r="L41" s="51" t="str">
        <f t="shared" si="3"/>
        <v>인게임기능</v>
      </c>
    </row>
    <row r="42" spans="1:12" ht="27" x14ac:dyDescent="0.2">
      <c r="A42" s="51">
        <f t="shared" si="4"/>
        <v>41</v>
      </c>
      <c r="B42" s="59"/>
      <c r="C42" s="54"/>
      <c r="D42" s="113"/>
      <c r="E42" s="50" t="s">
        <v>240</v>
      </c>
      <c r="F42" s="51" t="s">
        <v>143</v>
      </c>
      <c r="G42" s="51" t="s">
        <v>244</v>
      </c>
      <c r="H42" s="50" t="s">
        <v>249</v>
      </c>
      <c r="I42" s="41" t="s">
        <v>125</v>
      </c>
      <c r="J42" s="51"/>
      <c r="K42" s="51"/>
      <c r="L42" s="51" t="str">
        <f t="shared" si="3"/>
        <v>인게임기능</v>
      </c>
    </row>
    <row r="43" spans="1:12" ht="27" x14ac:dyDescent="0.2">
      <c r="A43" s="51">
        <f t="shared" si="4"/>
        <v>42</v>
      </c>
      <c r="B43" s="59"/>
      <c r="C43" s="54"/>
      <c r="D43" s="113"/>
      <c r="E43" s="50" t="s">
        <v>241</v>
      </c>
      <c r="F43" s="51" t="s">
        <v>143</v>
      </c>
      <c r="G43" s="51" t="s">
        <v>246</v>
      </c>
      <c r="H43" s="50" t="s">
        <v>250</v>
      </c>
      <c r="I43" s="41" t="s">
        <v>125</v>
      </c>
      <c r="J43" s="51"/>
      <c r="K43" s="51"/>
      <c r="L43" s="51" t="str">
        <f t="shared" si="3"/>
        <v>인게임기능</v>
      </c>
    </row>
    <row r="44" spans="1:12" ht="27" x14ac:dyDescent="0.2">
      <c r="A44" s="51">
        <f t="shared" si="4"/>
        <v>43</v>
      </c>
      <c r="B44" s="59"/>
      <c r="C44" s="54"/>
      <c r="D44" s="113"/>
      <c r="E44" s="50" t="s">
        <v>242</v>
      </c>
      <c r="F44" s="51" t="s">
        <v>143</v>
      </c>
      <c r="G44" s="51" t="s">
        <v>247</v>
      </c>
      <c r="H44" s="50" t="s">
        <v>251</v>
      </c>
      <c r="I44" s="41" t="s">
        <v>125</v>
      </c>
      <c r="J44" s="51"/>
      <c r="K44" s="51"/>
      <c r="L44" s="51" t="str">
        <f t="shared" si="3"/>
        <v>인게임기능</v>
      </c>
    </row>
    <row r="45" spans="1:12" ht="23.25" x14ac:dyDescent="0.2">
      <c r="A45" s="43">
        <f t="shared" si="4"/>
        <v>44</v>
      </c>
      <c r="B45" s="59"/>
      <c r="C45" s="54"/>
      <c r="D45" s="53" t="s">
        <v>135</v>
      </c>
      <c r="E45" s="43" t="s">
        <v>207</v>
      </c>
      <c r="F45" s="36" t="s">
        <v>132</v>
      </c>
      <c r="G45" s="51" t="s">
        <v>245</v>
      </c>
      <c r="H45" s="52" t="s">
        <v>208</v>
      </c>
      <c r="I45" s="41" t="s">
        <v>209</v>
      </c>
      <c r="J45" s="43"/>
      <c r="K45" s="43"/>
      <c r="L45" s="51" t="str">
        <f t="shared" si="3"/>
        <v>인게임기능</v>
      </c>
    </row>
    <row r="46" spans="1:12" ht="23.25" x14ac:dyDescent="0.2">
      <c r="A46" s="43">
        <f t="shared" si="4"/>
        <v>45</v>
      </c>
      <c r="B46" s="59"/>
      <c r="C46" s="54"/>
      <c r="D46" s="54"/>
      <c r="E46" s="43" t="s">
        <v>210</v>
      </c>
      <c r="F46" s="36" t="s">
        <v>132</v>
      </c>
      <c r="G46" s="51" t="s">
        <v>211</v>
      </c>
      <c r="H46" s="52" t="s">
        <v>212</v>
      </c>
      <c r="I46" s="41" t="s">
        <v>209</v>
      </c>
      <c r="J46" s="43"/>
      <c r="K46" s="43"/>
      <c r="L46" s="43" t="str">
        <f t="shared" si="3"/>
        <v>인게임기능</v>
      </c>
    </row>
    <row r="47" spans="1:12" ht="23.25" x14ac:dyDescent="0.2">
      <c r="A47" s="43">
        <f t="shared" si="4"/>
        <v>46</v>
      </c>
      <c r="B47" s="59"/>
      <c r="C47" s="54"/>
      <c r="D47" s="54"/>
      <c r="E47" s="43" t="s">
        <v>213</v>
      </c>
      <c r="F47" s="36" t="s">
        <v>132</v>
      </c>
      <c r="G47" s="51" t="s">
        <v>214</v>
      </c>
      <c r="H47" s="52" t="s">
        <v>215</v>
      </c>
      <c r="I47" s="41" t="s">
        <v>209</v>
      </c>
      <c r="J47" s="43"/>
      <c r="K47" s="43"/>
      <c r="L47" s="43" t="str">
        <f t="shared" si="3"/>
        <v>인게임기능</v>
      </c>
    </row>
    <row r="48" spans="1:12" ht="23.25" x14ac:dyDescent="0.2">
      <c r="A48" s="43">
        <f t="shared" si="4"/>
        <v>47</v>
      </c>
      <c r="B48" s="59"/>
      <c r="C48" s="54"/>
      <c r="D48" s="54"/>
      <c r="E48" s="43" t="s">
        <v>216</v>
      </c>
      <c r="F48" s="36" t="s">
        <v>132</v>
      </c>
      <c r="G48" s="51" t="s">
        <v>217</v>
      </c>
      <c r="H48" s="52" t="s">
        <v>218</v>
      </c>
      <c r="I48" s="41" t="s">
        <v>209</v>
      </c>
      <c r="J48" s="43"/>
      <c r="K48" s="43"/>
      <c r="L48" s="43" t="str">
        <f t="shared" si="3"/>
        <v>인게임기능</v>
      </c>
    </row>
    <row r="49" spans="1:12" ht="23.25" x14ac:dyDescent="0.2">
      <c r="A49" s="43">
        <f t="shared" si="4"/>
        <v>48</v>
      </c>
      <c r="B49" s="59"/>
      <c r="C49" s="54"/>
      <c r="D49" s="54"/>
      <c r="E49" s="43" t="s">
        <v>219</v>
      </c>
      <c r="F49" s="36" t="s">
        <v>132</v>
      </c>
      <c r="G49" s="51" t="s">
        <v>220</v>
      </c>
      <c r="H49" s="52" t="s">
        <v>221</v>
      </c>
      <c r="I49" s="41" t="s">
        <v>209</v>
      </c>
      <c r="J49" s="43"/>
      <c r="K49" s="43"/>
      <c r="L49" s="43" t="str">
        <f t="shared" si="3"/>
        <v>인게임기능</v>
      </c>
    </row>
    <row r="50" spans="1:12" ht="23.25" x14ac:dyDescent="0.2">
      <c r="A50" s="43">
        <f t="shared" si="4"/>
        <v>49</v>
      </c>
      <c r="B50" s="59"/>
      <c r="C50" s="54"/>
      <c r="D50" s="55"/>
      <c r="E50" s="43" t="s">
        <v>222</v>
      </c>
      <c r="F50" s="36" t="s">
        <v>132</v>
      </c>
      <c r="G50" s="51" t="s">
        <v>223</v>
      </c>
      <c r="H50" s="52" t="s">
        <v>224</v>
      </c>
      <c r="I50" s="41" t="s">
        <v>209</v>
      </c>
      <c r="J50" s="43"/>
      <c r="K50" s="43"/>
      <c r="L50" s="43" t="str">
        <f t="shared" si="3"/>
        <v>인게임기능</v>
      </c>
    </row>
    <row r="51" spans="1:12" ht="27" x14ac:dyDescent="0.2">
      <c r="A51" s="40">
        <f t="shared" si="4"/>
        <v>50</v>
      </c>
      <c r="B51" s="59"/>
      <c r="C51" s="54"/>
      <c r="D51" s="33" t="s">
        <v>181</v>
      </c>
      <c r="E51" s="38" t="s">
        <v>187</v>
      </c>
      <c r="F51" s="36" t="s">
        <v>184</v>
      </c>
      <c r="G51" s="35" t="s">
        <v>188</v>
      </c>
      <c r="H51" s="38" t="s">
        <v>189</v>
      </c>
      <c r="I51" s="37" t="s">
        <v>125</v>
      </c>
      <c r="J51" s="35"/>
      <c r="K51" s="35"/>
      <c r="L51" s="43" t="str">
        <f t="shared" si="3"/>
        <v>인게임기능</v>
      </c>
    </row>
    <row r="52" spans="1:12" ht="40.5" x14ac:dyDescent="0.2">
      <c r="A52" s="40">
        <f t="shared" si="4"/>
        <v>51</v>
      </c>
      <c r="B52" s="59"/>
      <c r="C52" s="54"/>
      <c r="D52" s="53" t="s">
        <v>136</v>
      </c>
      <c r="E52" s="38" t="s">
        <v>177</v>
      </c>
      <c r="F52" s="35" t="s">
        <v>143</v>
      </c>
      <c r="G52" s="35" t="s">
        <v>165</v>
      </c>
      <c r="H52" s="38" t="s">
        <v>144</v>
      </c>
      <c r="I52" s="37" t="s">
        <v>125</v>
      </c>
      <c r="J52" s="35"/>
      <c r="K52" s="35"/>
      <c r="L52" s="35" t="str">
        <f t="shared" si="3"/>
        <v>인게임기능</v>
      </c>
    </row>
    <row r="53" spans="1:12" ht="40.5" x14ac:dyDescent="0.2">
      <c r="A53" s="40">
        <f t="shared" si="4"/>
        <v>52</v>
      </c>
      <c r="B53" s="59"/>
      <c r="C53" s="55"/>
      <c r="D53" s="55"/>
      <c r="E53" s="34" t="s">
        <v>178</v>
      </c>
      <c r="F53" s="39" t="s">
        <v>143</v>
      </c>
      <c r="G53" s="39" t="s">
        <v>179</v>
      </c>
      <c r="H53" s="34" t="s">
        <v>180</v>
      </c>
      <c r="I53" s="37" t="s">
        <v>126</v>
      </c>
      <c r="J53" s="35" t="s">
        <v>134</v>
      </c>
      <c r="K53" s="35"/>
      <c r="L53" s="35" t="str">
        <f t="shared" si="3"/>
        <v>인게임기능</v>
      </c>
    </row>
    <row r="54" spans="1:12" ht="40.5" x14ac:dyDescent="0.2">
      <c r="A54" s="43">
        <f t="shared" si="4"/>
        <v>53</v>
      </c>
      <c r="B54" s="59"/>
      <c r="C54" s="53" t="s">
        <v>138</v>
      </c>
      <c r="D54" s="56" t="s">
        <v>130</v>
      </c>
      <c r="E54" s="45" t="s">
        <v>225</v>
      </c>
      <c r="F54" s="44" t="s">
        <v>143</v>
      </c>
      <c r="G54" s="44" t="s">
        <v>226</v>
      </c>
      <c r="H54" s="45" t="s">
        <v>227</v>
      </c>
      <c r="I54" s="41" t="s">
        <v>125</v>
      </c>
      <c r="J54" s="43"/>
      <c r="K54" s="43"/>
      <c r="L54" s="43" t="str">
        <f t="shared" si="3"/>
        <v>인게임기능</v>
      </c>
    </row>
    <row r="55" spans="1:12" ht="40.5" x14ac:dyDescent="0.2">
      <c r="A55" s="40">
        <f t="shared" si="4"/>
        <v>54</v>
      </c>
      <c r="B55" s="59"/>
      <c r="C55" s="54"/>
      <c r="D55" s="57"/>
      <c r="E55" s="34" t="s">
        <v>131</v>
      </c>
      <c r="F55" s="24" t="s">
        <v>132</v>
      </c>
      <c r="G55" s="39" t="s">
        <v>160</v>
      </c>
      <c r="H55" s="34" t="s">
        <v>133</v>
      </c>
      <c r="I55" s="37" t="s">
        <v>126</v>
      </c>
      <c r="J55" s="35" t="s">
        <v>134</v>
      </c>
      <c r="K55" s="35"/>
      <c r="L55" s="35" t="str">
        <f>IF(B55="",L37,B55)</f>
        <v>인게임기능</v>
      </c>
    </row>
    <row r="56" spans="1:12" ht="27" x14ac:dyDescent="0.2">
      <c r="A56" s="40">
        <f t="shared" si="4"/>
        <v>55</v>
      </c>
      <c r="B56" s="59"/>
      <c r="C56" s="54"/>
      <c r="D56" s="33" t="s">
        <v>182</v>
      </c>
      <c r="E56" s="38" t="s">
        <v>183</v>
      </c>
      <c r="F56" s="36" t="s">
        <v>184</v>
      </c>
      <c r="G56" s="35" t="s">
        <v>185</v>
      </c>
      <c r="H56" s="38" t="s">
        <v>186</v>
      </c>
      <c r="I56" s="37" t="s">
        <v>125</v>
      </c>
      <c r="J56" s="35"/>
      <c r="K56" s="35"/>
      <c r="L56" s="35" t="str">
        <f>IF(B56="",L38,B56)</f>
        <v>인게임기능</v>
      </c>
    </row>
    <row r="57" spans="1:12" ht="27" x14ac:dyDescent="0.2">
      <c r="A57" s="40">
        <f t="shared" si="4"/>
        <v>56</v>
      </c>
      <c r="B57" s="59"/>
      <c r="C57" s="55"/>
      <c r="D57" s="32" t="s">
        <v>173</v>
      </c>
      <c r="E57" s="38" t="s">
        <v>174</v>
      </c>
      <c r="F57" s="36" t="s">
        <v>132</v>
      </c>
      <c r="G57" s="35" t="s">
        <v>175</v>
      </c>
      <c r="H57" s="38" t="s">
        <v>176</v>
      </c>
      <c r="I57" s="37" t="s">
        <v>125</v>
      </c>
      <c r="J57" s="35"/>
      <c r="K57" s="35"/>
      <c r="L57" s="35" t="str">
        <f>IF(B57="",L40,B57)</f>
        <v>인게임기능</v>
      </c>
    </row>
    <row r="58" spans="1:12" ht="27" x14ac:dyDescent="0.2">
      <c r="A58" s="40">
        <f t="shared" si="4"/>
        <v>57</v>
      </c>
      <c r="B58" s="59"/>
      <c r="C58" s="66" t="s">
        <v>228</v>
      </c>
      <c r="D58" s="71" t="s">
        <v>229</v>
      </c>
      <c r="E58" s="38" t="s">
        <v>230</v>
      </c>
      <c r="F58" s="36" t="s">
        <v>184</v>
      </c>
      <c r="G58" s="35" t="s">
        <v>231</v>
      </c>
      <c r="H58" s="38" t="s">
        <v>232</v>
      </c>
      <c r="I58" s="37" t="s">
        <v>125</v>
      </c>
      <c r="J58" s="35"/>
      <c r="K58" s="35"/>
      <c r="L58" s="43" t="str">
        <f>IF(B58="",L45,B58)</f>
        <v>인게임기능</v>
      </c>
    </row>
    <row r="59" spans="1:12" ht="40.5" x14ac:dyDescent="0.2">
      <c r="A59" s="40">
        <f t="shared" si="4"/>
        <v>58</v>
      </c>
      <c r="B59" s="59"/>
      <c r="C59" s="59"/>
      <c r="D59" s="70"/>
      <c r="E59" s="38" t="s">
        <v>233</v>
      </c>
      <c r="F59" s="36" t="s">
        <v>184</v>
      </c>
      <c r="G59" s="35" t="s">
        <v>234</v>
      </c>
      <c r="H59" s="38" t="s">
        <v>235</v>
      </c>
      <c r="I59" s="41" t="s">
        <v>125</v>
      </c>
      <c r="J59" s="35"/>
      <c r="K59" s="10"/>
      <c r="L59" s="43" t="str">
        <f>IF(B59="",L46,B59)</f>
        <v>인게임기능</v>
      </c>
    </row>
    <row r="60" spans="1:12" ht="12.75" customHeight="1" x14ac:dyDescent="0.2">
      <c r="A60" s="40">
        <f t="shared" si="4"/>
        <v>59</v>
      </c>
      <c r="B60" s="59"/>
      <c r="C60" s="59"/>
      <c r="D60" s="69"/>
      <c r="E60" s="10"/>
      <c r="F60" s="10"/>
      <c r="G60" s="10"/>
      <c r="H60" s="10"/>
      <c r="I60" s="19"/>
      <c r="J60" s="10"/>
      <c r="K60" s="10"/>
      <c r="L60" s="10"/>
    </row>
    <row r="61" spans="1:12" ht="12.75" customHeight="1" x14ac:dyDescent="0.2">
      <c r="A61" s="40">
        <f t="shared" si="4"/>
        <v>60</v>
      </c>
      <c r="B61" s="59"/>
      <c r="C61" s="59"/>
      <c r="D61" s="70"/>
      <c r="E61" s="10"/>
      <c r="F61" s="10"/>
      <c r="G61" s="10"/>
      <c r="H61" s="10"/>
      <c r="I61" s="19"/>
      <c r="J61" s="10"/>
      <c r="K61" s="10"/>
      <c r="L61" s="10"/>
    </row>
    <row r="62" spans="1:12" ht="13.5" x14ac:dyDescent="0.2">
      <c r="A62" s="40">
        <f t="shared" si="4"/>
        <v>61</v>
      </c>
      <c r="B62" s="59"/>
      <c r="C62" s="59"/>
      <c r="D62" s="20"/>
      <c r="E62" s="10"/>
      <c r="F62" s="10"/>
      <c r="G62" s="10"/>
      <c r="H62" s="10"/>
      <c r="I62" s="19"/>
      <c r="J62" s="10"/>
      <c r="K62" s="10"/>
      <c r="L62" s="10"/>
    </row>
    <row r="63" spans="1:12" x14ac:dyDescent="0.2">
      <c r="A63" s="40"/>
      <c r="B63" s="59"/>
      <c r="C63" s="59"/>
      <c r="D63" s="61"/>
      <c r="E63" s="61"/>
      <c r="F63" s="10"/>
      <c r="G63" s="10"/>
      <c r="H63" s="10"/>
      <c r="I63" s="19"/>
      <c r="J63" s="10"/>
      <c r="K63" s="10"/>
      <c r="L63" s="10"/>
    </row>
    <row r="64" spans="1:12" x14ac:dyDescent="0.2">
      <c r="A64" s="40"/>
      <c r="B64" s="59"/>
      <c r="C64" s="59"/>
      <c r="D64" s="59"/>
      <c r="E64" s="59"/>
      <c r="F64" s="10"/>
      <c r="G64" s="10"/>
      <c r="H64" s="10"/>
      <c r="I64" s="19"/>
      <c r="J64" s="10"/>
      <c r="K64" s="10"/>
      <c r="L64" s="10"/>
    </row>
    <row r="65" spans="1:12" ht="13.5" x14ac:dyDescent="0.2">
      <c r="A65" s="40"/>
      <c r="B65" s="59"/>
      <c r="C65" s="59"/>
      <c r="D65" s="20"/>
      <c r="E65" s="18"/>
      <c r="F65" s="10"/>
      <c r="G65" s="10"/>
      <c r="H65" s="10"/>
      <c r="I65" s="19"/>
      <c r="J65" s="10"/>
      <c r="K65" s="10"/>
      <c r="L65" s="10"/>
    </row>
    <row r="66" spans="1:12" ht="13.5" x14ac:dyDescent="0.2">
      <c r="A66" s="40"/>
      <c r="B66" s="59"/>
      <c r="C66" s="59"/>
      <c r="D66" s="20"/>
      <c r="E66" s="10"/>
      <c r="F66" s="10"/>
      <c r="G66" s="10"/>
      <c r="H66" s="10"/>
      <c r="I66" s="19"/>
      <c r="J66" s="10"/>
      <c r="K66" s="10"/>
      <c r="L66" s="10"/>
    </row>
    <row r="67" spans="1:12" ht="13.5" x14ac:dyDescent="0.2">
      <c r="A67" s="40"/>
      <c r="B67" s="59"/>
      <c r="C67" s="59"/>
      <c r="D67" s="20"/>
      <c r="E67" s="10"/>
      <c r="F67" s="10"/>
      <c r="G67" s="10"/>
      <c r="H67" s="10"/>
      <c r="I67" s="19"/>
      <c r="J67" s="10"/>
      <c r="K67" s="10"/>
      <c r="L67" s="22"/>
    </row>
    <row r="68" spans="1:12" ht="12.75" customHeight="1" x14ac:dyDescent="0.2">
      <c r="E68" s="22"/>
      <c r="F68" s="22"/>
      <c r="G68" s="22"/>
      <c r="H68" s="22"/>
      <c r="I68" s="23"/>
      <c r="J68" s="22"/>
      <c r="K68" s="22"/>
    </row>
  </sheetData>
  <mergeCells count="23">
    <mergeCell ref="D45:D50"/>
    <mergeCell ref="D34:D40"/>
    <mergeCell ref="D11:D13"/>
    <mergeCell ref="C14:C53"/>
    <mergeCell ref="D52:D53"/>
    <mergeCell ref="D27:D33"/>
    <mergeCell ref="D41:D44"/>
    <mergeCell ref="C54:C57"/>
    <mergeCell ref="D54:D55"/>
    <mergeCell ref="B6:B13"/>
    <mergeCell ref="E63:E64"/>
    <mergeCell ref="B2:B5"/>
    <mergeCell ref="C3:C5"/>
    <mergeCell ref="C6:C13"/>
    <mergeCell ref="B14:B67"/>
    <mergeCell ref="C58:C67"/>
    <mergeCell ref="D63:D64"/>
    <mergeCell ref="D14:D21"/>
    <mergeCell ref="D22:D26"/>
    <mergeCell ref="D9:D10"/>
    <mergeCell ref="D6:D8"/>
    <mergeCell ref="D60:D61"/>
    <mergeCell ref="D58:D59"/>
  </mergeCells>
  <phoneticPr fontId="8" type="noConversion"/>
  <conditionalFormatting sqref="A1:G1">
    <cfRule type="containsBlanks" dxfId="81" priority="127">
      <formula>LEN(TRIM(A1))=0</formula>
    </cfRule>
    <cfRule type="containsText" dxfId="80" priority="130" operator="containsText" text="Pass">
      <formula>NOT(ISERROR(SEARCH(("Pass"),(A1))))</formula>
    </cfRule>
    <cfRule type="containsText" dxfId="79" priority="134" operator="containsText" text="Fail">
      <formula>NOT(ISERROR(SEARCH(("Fail"),(A1))))</formula>
    </cfRule>
    <cfRule type="containsText" dxfId="78" priority="138" operator="containsText" text="Block">
      <formula>NOT(ISERROR(SEARCH(("Block"),(A1))))</formula>
    </cfRule>
    <cfRule type="containsText" dxfId="77" priority="142" operator="containsText" text="N/A">
      <formula>NOT(ISERROR(SEARCH(("N/A"),(A1))))</formula>
    </cfRule>
    <cfRule type="containsText" dxfId="76" priority="146" operator="containsText" text="N/T">
      <formula>NOT(ISERROR(SEARCH(("N/T"),(A1))))</formula>
    </cfRule>
  </conditionalFormatting>
  <conditionalFormatting sqref="I1">
    <cfRule type="containsText" dxfId="75" priority="133" operator="containsText" text="Pass">
      <formula>NOT(ISERROR(SEARCH(("Pass"),(I1))))</formula>
    </cfRule>
    <cfRule type="containsText" dxfId="74" priority="137" operator="containsText" text="Fail">
      <formula>NOT(ISERROR(SEARCH(("Fail"),(I1))))</formula>
    </cfRule>
    <cfRule type="containsText" dxfId="73" priority="141" operator="containsText" text="Block">
      <formula>NOT(ISERROR(SEARCH(("Block"),(I1))))</formula>
    </cfRule>
    <cfRule type="containsText" dxfId="72" priority="145" operator="containsText" text="N/A">
      <formula>NOT(ISERROR(SEARCH(("N/A"),(I1))))</formula>
    </cfRule>
  </conditionalFormatting>
  <conditionalFormatting sqref="I60:I67 I1:I12 I51 I31:I44">
    <cfRule type="containsBlanks" dxfId="71" priority="128">
      <formula>LEN(TRIM(I1))=0</formula>
    </cfRule>
    <cfRule type="containsText" dxfId="70" priority="147" operator="containsText" text="N/T">
      <formula>NOT(ISERROR(SEARCH(("N/T"),(I1))))</formula>
    </cfRule>
  </conditionalFormatting>
  <conditionalFormatting sqref="I60:I67 I2:I12 I51 I31:I44">
    <cfRule type="containsText" dxfId="69" priority="131" operator="containsText" text="Pass">
      <formula>NOT(ISERROR(SEARCH(("Pass"),(I2))))</formula>
    </cfRule>
    <cfRule type="containsText" dxfId="68" priority="135" operator="containsText" text="Fail">
      <formula>NOT(ISERROR(SEARCH(("Fail"),(I2))))</formula>
    </cfRule>
    <cfRule type="containsText" dxfId="67" priority="139" operator="containsText" text="Block">
      <formula>NOT(ISERROR(SEARCH(("Block"),(I2))))</formula>
    </cfRule>
    <cfRule type="containsText" dxfId="66" priority="143" operator="containsText" text="N/A">
      <formula>NOT(ISERROR(SEARCH(("N/A"),(I2))))</formula>
    </cfRule>
  </conditionalFormatting>
  <conditionalFormatting sqref="J1:L1">
    <cfRule type="containsBlanks" dxfId="65" priority="129">
      <formula>LEN(TRIM(J1))=0</formula>
    </cfRule>
    <cfRule type="containsText" dxfId="64" priority="132" operator="containsText" text="Pass">
      <formula>NOT(ISERROR(SEARCH(("Pass"),(J1))))</formula>
    </cfRule>
    <cfRule type="containsText" dxfId="63" priority="136" operator="containsText" text="Fail">
      <formula>NOT(ISERROR(SEARCH(("Fail"),(J1))))</formula>
    </cfRule>
    <cfRule type="containsText" dxfId="62" priority="140" operator="containsText" text="Block">
      <formula>NOT(ISERROR(SEARCH(("Block"),(J1))))</formula>
    </cfRule>
    <cfRule type="containsText" dxfId="61" priority="144" operator="containsText" text="N/A">
      <formula>NOT(ISERROR(SEARCH(("N/A"),(J1))))</formula>
    </cfRule>
    <cfRule type="containsText" dxfId="60" priority="148" operator="containsText" text="N/T">
      <formula>NOT(ISERROR(SEARCH(("N/T"),(J1))))</formula>
    </cfRule>
  </conditionalFormatting>
  <conditionalFormatting sqref="I14:I26">
    <cfRule type="containsBlanks" dxfId="59" priority="85">
      <formula>LEN(TRIM(I14))=0</formula>
    </cfRule>
    <cfRule type="containsText" dxfId="58" priority="90" operator="containsText" text="N/T">
      <formula>NOT(ISERROR(SEARCH(("N/T"),(I14))))</formula>
    </cfRule>
  </conditionalFormatting>
  <conditionalFormatting sqref="I14:I26">
    <cfRule type="containsText" dxfId="57" priority="86" operator="containsText" text="Pass">
      <formula>NOT(ISERROR(SEARCH(("Pass"),(I14))))</formula>
    </cfRule>
    <cfRule type="containsText" dxfId="56" priority="87" operator="containsText" text="Fail">
      <formula>NOT(ISERROR(SEARCH(("Fail"),(I14))))</formula>
    </cfRule>
    <cfRule type="containsText" dxfId="55" priority="88" operator="containsText" text="Block">
      <formula>NOT(ISERROR(SEARCH(("Block"),(I14))))</formula>
    </cfRule>
    <cfRule type="containsText" dxfId="54" priority="89" operator="containsText" text="N/A">
      <formula>NOT(ISERROR(SEARCH(("N/A"),(I14))))</formula>
    </cfRule>
  </conditionalFormatting>
  <conditionalFormatting sqref="I58">
    <cfRule type="containsBlanks" dxfId="53" priority="61">
      <formula>LEN(TRIM(I58))=0</formula>
    </cfRule>
    <cfRule type="containsText" dxfId="52" priority="66" operator="containsText" text="N/T">
      <formula>NOT(ISERROR(SEARCH(("N/T"),(I58))))</formula>
    </cfRule>
  </conditionalFormatting>
  <conditionalFormatting sqref="I58">
    <cfRule type="containsText" dxfId="51" priority="62" operator="containsText" text="Pass">
      <formula>NOT(ISERROR(SEARCH(("Pass"),(I58))))</formula>
    </cfRule>
    <cfRule type="containsText" dxfId="50" priority="63" operator="containsText" text="Fail">
      <formula>NOT(ISERROR(SEARCH(("Fail"),(I58))))</formula>
    </cfRule>
    <cfRule type="containsText" dxfId="49" priority="64" operator="containsText" text="Block">
      <formula>NOT(ISERROR(SEARCH(("Block"),(I58))))</formula>
    </cfRule>
    <cfRule type="containsText" dxfId="48" priority="65" operator="containsText" text="N/A">
      <formula>NOT(ISERROR(SEARCH(("N/A"),(I58))))</formula>
    </cfRule>
  </conditionalFormatting>
  <conditionalFormatting sqref="I55:I56">
    <cfRule type="containsBlanks" dxfId="47" priority="55">
      <formula>LEN(TRIM(I55))=0</formula>
    </cfRule>
    <cfRule type="containsText" dxfId="46" priority="60" operator="containsText" text="N/T">
      <formula>NOT(ISERROR(SEARCH(("N/T"),(I55))))</formula>
    </cfRule>
  </conditionalFormatting>
  <conditionalFormatting sqref="I55:I56">
    <cfRule type="containsText" dxfId="45" priority="56" operator="containsText" text="Pass">
      <formula>NOT(ISERROR(SEARCH(("Pass"),(I55))))</formula>
    </cfRule>
    <cfRule type="containsText" dxfId="44" priority="57" operator="containsText" text="Fail">
      <formula>NOT(ISERROR(SEARCH(("Fail"),(I55))))</formula>
    </cfRule>
    <cfRule type="containsText" dxfId="43" priority="58" operator="containsText" text="Block">
      <formula>NOT(ISERROR(SEARCH(("Block"),(I55))))</formula>
    </cfRule>
    <cfRule type="containsText" dxfId="42" priority="59" operator="containsText" text="N/A">
      <formula>NOT(ISERROR(SEARCH(("N/A"),(I55))))</formula>
    </cfRule>
  </conditionalFormatting>
  <conditionalFormatting sqref="I13">
    <cfRule type="containsBlanks" dxfId="41" priority="49">
      <formula>LEN(TRIM(I13))=0</formula>
    </cfRule>
    <cfRule type="containsText" dxfId="40" priority="54" operator="containsText" text="N/T">
      <formula>NOT(ISERROR(SEARCH(("N/T"),(I13))))</formula>
    </cfRule>
  </conditionalFormatting>
  <conditionalFormatting sqref="I13">
    <cfRule type="containsText" dxfId="39" priority="50" operator="containsText" text="Pass">
      <formula>NOT(ISERROR(SEARCH(("Pass"),(I13))))</formula>
    </cfRule>
    <cfRule type="containsText" dxfId="38" priority="51" operator="containsText" text="Fail">
      <formula>NOT(ISERROR(SEARCH(("Fail"),(I13))))</formula>
    </cfRule>
    <cfRule type="containsText" dxfId="37" priority="52" operator="containsText" text="Block">
      <formula>NOT(ISERROR(SEARCH(("Block"),(I13))))</formula>
    </cfRule>
    <cfRule type="containsText" dxfId="36" priority="53" operator="containsText" text="N/A">
      <formula>NOT(ISERROR(SEARCH(("N/A"),(I13))))</formula>
    </cfRule>
  </conditionalFormatting>
  <conditionalFormatting sqref="I27:I29">
    <cfRule type="containsBlanks" dxfId="35" priority="37">
      <formula>LEN(TRIM(I27))=0</formula>
    </cfRule>
    <cfRule type="containsText" dxfId="34" priority="42" operator="containsText" text="N/T">
      <formula>NOT(ISERROR(SEARCH(("N/T"),(I27))))</formula>
    </cfRule>
  </conditionalFormatting>
  <conditionalFormatting sqref="I27:I29">
    <cfRule type="containsText" dxfId="33" priority="38" operator="containsText" text="Pass">
      <formula>NOT(ISERROR(SEARCH(("Pass"),(I27))))</formula>
    </cfRule>
    <cfRule type="containsText" dxfId="32" priority="39" operator="containsText" text="Fail">
      <formula>NOT(ISERROR(SEARCH(("Fail"),(I27))))</formula>
    </cfRule>
    <cfRule type="containsText" dxfId="31" priority="40" operator="containsText" text="Block">
      <formula>NOT(ISERROR(SEARCH(("Block"),(I27))))</formula>
    </cfRule>
    <cfRule type="containsText" dxfId="30" priority="41" operator="containsText" text="N/A">
      <formula>NOT(ISERROR(SEARCH(("N/A"),(I27))))</formula>
    </cfRule>
  </conditionalFormatting>
  <conditionalFormatting sqref="I30">
    <cfRule type="containsBlanks" dxfId="29" priority="31">
      <formula>LEN(TRIM(I30))=0</formula>
    </cfRule>
    <cfRule type="containsText" dxfId="28" priority="36" operator="containsText" text="N/T">
      <formula>NOT(ISERROR(SEARCH(("N/T"),(I30))))</formula>
    </cfRule>
  </conditionalFormatting>
  <conditionalFormatting sqref="I30">
    <cfRule type="containsText" dxfId="27" priority="32" operator="containsText" text="Pass">
      <formula>NOT(ISERROR(SEARCH(("Pass"),(I30))))</formula>
    </cfRule>
    <cfRule type="containsText" dxfId="26" priority="33" operator="containsText" text="Fail">
      <formula>NOT(ISERROR(SEARCH(("Fail"),(I30))))</formula>
    </cfRule>
    <cfRule type="containsText" dxfId="25" priority="34" operator="containsText" text="Block">
      <formula>NOT(ISERROR(SEARCH(("Block"),(I30))))</formula>
    </cfRule>
    <cfRule type="containsText" dxfId="24" priority="35" operator="containsText" text="N/A">
      <formula>NOT(ISERROR(SEARCH(("N/A"),(I30))))</formula>
    </cfRule>
  </conditionalFormatting>
  <conditionalFormatting sqref="I57">
    <cfRule type="containsBlanks" dxfId="23" priority="19">
      <formula>LEN(TRIM(I57))=0</formula>
    </cfRule>
    <cfRule type="containsText" dxfId="22" priority="24" operator="containsText" text="N/T">
      <formula>NOT(ISERROR(SEARCH(("N/T"),(I57))))</formula>
    </cfRule>
  </conditionalFormatting>
  <conditionalFormatting sqref="I57">
    <cfRule type="containsText" dxfId="21" priority="20" operator="containsText" text="Pass">
      <formula>NOT(ISERROR(SEARCH(("Pass"),(I57))))</formula>
    </cfRule>
    <cfRule type="containsText" dxfId="20" priority="21" operator="containsText" text="Fail">
      <formula>NOT(ISERROR(SEARCH(("Fail"),(I57))))</formula>
    </cfRule>
    <cfRule type="containsText" dxfId="19" priority="22" operator="containsText" text="Block">
      <formula>NOT(ISERROR(SEARCH(("Block"),(I57))))</formula>
    </cfRule>
    <cfRule type="containsText" dxfId="18" priority="23" operator="containsText" text="N/A">
      <formula>NOT(ISERROR(SEARCH(("N/A"),(I57))))</formula>
    </cfRule>
  </conditionalFormatting>
  <conditionalFormatting sqref="I52:I54">
    <cfRule type="containsBlanks" dxfId="17" priority="13">
      <formula>LEN(TRIM(I52))=0</formula>
    </cfRule>
    <cfRule type="containsText" dxfId="16" priority="18" operator="containsText" text="N/T">
      <formula>NOT(ISERROR(SEARCH(("N/T"),(I52))))</formula>
    </cfRule>
  </conditionalFormatting>
  <conditionalFormatting sqref="I52:I54">
    <cfRule type="containsText" dxfId="15" priority="14" operator="containsText" text="Pass">
      <formula>NOT(ISERROR(SEARCH(("Pass"),(I52))))</formula>
    </cfRule>
    <cfRule type="containsText" dxfId="14" priority="15" operator="containsText" text="Fail">
      <formula>NOT(ISERROR(SEARCH(("Fail"),(I52))))</formula>
    </cfRule>
    <cfRule type="containsText" dxfId="13" priority="16" operator="containsText" text="Block">
      <formula>NOT(ISERROR(SEARCH(("Block"),(I52))))</formula>
    </cfRule>
    <cfRule type="containsText" dxfId="12" priority="17" operator="containsText" text="N/A">
      <formula>NOT(ISERROR(SEARCH(("N/A"),(I52))))</formula>
    </cfRule>
  </conditionalFormatting>
  <conditionalFormatting sqref="I45:I50">
    <cfRule type="containsBlanks" dxfId="11" priority="7">
      <formula>LEN(TRIM(I45))=0</formula>
    </cfRule>
    <cfRule type="containsText" dxfId="10" priority="12" operator="containsText" text="N/T">
      <formula>NOT(ISERROR(SEARCH(("N/T"),(I45))))</formula>
    </cfRule>
  </conditionalFormatting>
  <conditionalFormatting sqref="I45:I50">
    <cfRule type="containsText" dxfId="9" priority="8" operator="containsText" text="Pass">
      <formula>NOT(ISERROR(SEARCH(("Pass"),(I45))))</formula>
    </cfRule>
    <cfRule type="containsText" dxfId="8" priority="9" operator="containsText" text="Fail">
      <formula>NOT(ISERROR(SEARCH(("Fail"),(I45))))</formula>
    </cfRule>
    <cfRule type="containsText" dxfId="7" priority="10" operator="containsText" text="Block">
      <formula>NOT(ISERROR(SEARCH(("Block"),(I45))))</formula>
    </cfRule>
    <cfRule type="containsText" dxfId="6" priority="11" operator="containsText" text="N/A">
      <formula>NOT(ISERROR(SEARCH(("N/A"),(I45))))</formula>
    </cfRule>
  </conditionalFormatting>
  <conditionalFormatting sqref="I59">
    <cfRule type="containsBlanks" dxfId="5" priority="1">
      <formula>LEN(TRIM(I59))=0</formula>
    </cfRule>
    <cfRule type="containsText" dxfId="4" priority="6" operator="containsText" text="N/T">
      <formula>NOT(ISERROR(SEARCH(("N/T"),(I59))))</formula>
    </cfRule>
  </conditionalFormatting>
  <conditionalFormatting sqref="I59">
    <cfRule type="containsText" dxfId="3" priority="2" operator="containsText" text="Pass">
      <formula>NOT(ISERROR(SEARCH(("Pass"),(I59))))</formula>
    </cfRule>
    <cfRule type="containsText" dxfId="2" priority="3" operator="containsText" text="Fail">
      <formula>NOT(ISERROR(SEARCH(("Fail"),(I59))))</formula>
    </cfRule>
    <cfRule type="containsText" dxfId="1" priority="4" operator="containsText" text="Block">
      <formula>NOT(ISERROR(SEARCH(("Block"),(I59))))</formula>
    </cfRule>
    <cfRule type="containsText" dxfId="0" priority="5" operator="containsText" text="N/A">
      <formula>NOT(ISERROR(SEARCH(("N/A"),(I59))))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 x14ac:dyDescent="0.2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 x14ac:dyDescent="0.2">
      <c r="A1" s="1" t="s">
        <v>30</v>
      </c>
    </row>
    <row r="2" spans="1:10" ht="12.75" customHeight="1" x14ac:dyDescent="0.2">
      <c r="A2" s="2" t="s">
        <v>25</v>
      </c>
      <c r="B2" s="2" t="s">
        <v>26</v>
      </c>
      <c r="C2" s="2" t="s">
        <v>27</v>
      </c>
      <c r="D2" s="2" t="s">
        <v>13</v>
      </c>
      <c r="E2" s="2" t="s">
        <v>16</v>
      </c>
      <c r="F2" s="2" t="s">
        <v>18</v>
      </c>
      <c r="G2" s="2" t="s">
        <v>17</v>
      </c>
      <c r="H2" s="2" t="s">
        <v>20</v>
      </c>
      <c r="I2" s="2" t="s">
        <v>28</v>
      </c>
      <c r="J2" s="2" t="s">
        <v>29</v>
      </c>
    </row>
    <row r="3" spans="1:10" ht="12.75" customHeight="1" x14ac:dyDescent="0.2">
      <c r="A3" s="3" t="s">
        <v>11</v>
      </c>
      <c r="B3" s="4">
        <f>COUNTIF(TestCase!L:L,A3)</f>
        <v>3</v>
      </c>
      <c r="C3" s="5">
        <f t="shared" ref="C3:C5" si="0">IFERROR(B3/$B$6,0)</f>
        <v>5.2631578947368418E-2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3</v>
      </c>
      <c r="I3" s="4">
        <f>COUNTIFS(TestCase!$I:$I,"*"&amp;I$2&amp;"*",TestCase!$L:$L,$A3)</f>
        <v>0</v>
      </c>
      <c r="J3" s="7">
        <f>I3/B3</f>
        <v>0</v>
      </c>
    </row>
    <row r="4" spans="1:10" ht="12.75" customHeight="1" x14ac:dyDescent="0.2">
      <c r="A4" s="3" t="s">
        <v>23</v>
      </c>
      <c r="B4" s="4">
        <f>COUNTIF(TestCase!L:L,A4)</f>
        <v>8</v>
      </c>
      <c r="C4" s="5">
        <f t="shared" si="0"/>
        <v>0.14035087719298245</v>
      </c>
      <c r="D4" s="4">
        <f>COUNTIFS(TestCase!$I:$I,"*"&amp;D$2&amp;"*",TestCase!$L:$L,$A4)</f>
        <v>7</v>
      </c>
      <c r="E4" s="4">
        <f>COUNTIFS(TestCase!$I:$I,"*"&amp;E$2&amp;"*",TestCase!$L:$L,$A4)</f>
        <v>1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8</v>
      </c>
      <c r="J4" s="7">
        <f t="shared" ref="J4:J5" si="2">I4/B4</f>
        <v>1</v>
      </c>
    </row>
    <row r="5" spans="1:10" ht="12.75" customHeight="1" x14ac:dyDescent="0.2">
      <c r="A5" s="3" t="s">
        <v>24</v>
      </c>
      <c r="B5" s="4">
        <f>COUNTIF(TestCase!L:L,A5)</f>
        <v>46</v>
      </c>
      <c r="C5" s="5">
        <f t="shared" si="0"/>
        <v>0.80701754385964908</v>
      </c>
      <c r="D5" s="4">
        <f>COUNTIFS(TestCase!$I:$I,"*"&amp;D$2&amp;"*",TestCase!$L:$L,$A5)</f>
        <v>42</v>
      </c>
      <c r="E5" s="4">
        <f>COUNTIFS(TestCase!$I:$I,"*"&amp;E$2&amp;"*",TestCase!$L:$L,$A5)</f>
        <v>4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46</v>
      </c>
      <c r="J5" s="7">
        <f t="shared" si="2"/>
        <v>1</v>
      </c>
    </row>
    <row r="6" spans="1:10" ht="12.75" customHeight="1" x14ac:dyDescent="0.2">
      <c r="A6" s="8" t="s">
        <v>28</v>
      </c>
      <c r="B6" s="8">
        <f t="shared" ref="B6:H6" si="3">SUM(B3:B5)</f>
        <v>57</v>
      </c>
      <c r="C6" s="9">
        <f>SUM(C3:C5)</f>
        <v>1</v>
      </c>
      <c r="D6" s="6">
        <f t="shared" si="3"/>
        <v>49</v>
      </c>
      <c r="E6" s="6">
        <f t="shared" si="3"/>
        <v>5</v>
      </c>
      <c r="F6" s="6">
        <f t="shared" si="3"/>
        <v>0</v>
      </c>
      <c r="G6" s="6">
        <f t="shared" si="3"/>
        <v>0</v>
      </c>
      <c r="H6" s="6">
        <f t="shared" si="3"/>
        <v>3</v>
      </c>
      <c r="I6" s="6">
        <f>SUM(I3:I5)</f>
        <v>54</v>
      </c>
      <c r="J6" s="6"/>
    </row>
    <row r="7" spans="1:10" ht="12.75" customHeight="1" x14ac:dyDescent="0.2">
      <c r="A7" s="8" t="s">
        <v>29</v>
      </c>
      <c r="B7" s="8"/>
      <c r="C7" s="8"/>
      <c r="D7" s="7">
        <f t="shared" ref="D7:I7" si="4">D6/$B6</f>
        <v>0.85964912280701755</v>
      </c>
      <c r="E7" s="7">
        <f t="shared" si="4"/>
        <v>8.771929824561403E-2</v>
      </c>
      <c r="F7" s="7">
        <f t="shared" si="4"/>
        <v>0</v>
      </c>
      <c r="G7" s="7">
        <f t="shared" si="4"/>
        <v>0</v>
      </c>
      <c r="H7" s="7">
        <f t="shared" si="4"/>
        <v>5.2631578947368418E-2</v>
      </c>
      <c r="I7" s="7">
        <f t="shared" si="4"/>
        <v>0.94736842105263153</v>
      </c>
      <c r="J7" s="6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F9E5-A076-48D7-BE9F-F95F05B750D4}">
  <sheetPr codeName="Sheet3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게임을 실행한다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  <mergeCell ref="A10:J11"/>
    <mergeCell ref="A12:B12"/>
    <mergeCell ref="C12:J12"/>
    <mergeCell ref="A13:J37"/>
    <mergeCell ref="A38:B38"/>
    <mergeCell ref="C38:J38"/>
  </mergeCells>
  <phoneticPr fontId="8" type="noConversion"/>
  <dataValidations disablePrompts="1" count="1">
    <dataValidation type="list" allowBlank="1" showInputMessage="1" showErrorMessage="1" sqref="C5:E5 H5:J5" xr:uid="{F41E9423-5A81-4AFB-9622-F70C0E5F3B8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08D7-B9BC-4048-9ECF-296FD3D2EAD2}">
  <sheetPr codeName="Sheet5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제목표시줄 내용을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disablePrompts="1" count="1">
    <dataValidation type="list" allowBlank="1" showInputMessage="1" showErrorMessage="1" sqref="C5:E5 H5:J5" xr:uid="{BD04569A-9BEF-4390-99F5-89FC993A2EF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65E8-B72D-4091-B577-700B123DC7BC}">
  <sheetPr codeName="Sheet6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게임중 윈도우를 최소화 후 복귀한다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DD5DB84D-EFA9-411F-B59F-80964494791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7EBF-998E-43D1-9F9D-131C4019B89A}">
  <sheetPr codeName="Sheet7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윈도우를 닫는다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AF43A89B-105E-48A9-80AB-3F07D38ECE5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1876-8D25-4A90-A3C4-8870EB758462}">
  <sheetPr codeName="Sheet8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 시작 버튼을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084ABA9D-6A80-4A96-904A-73B64959CBB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640D-8FEB-4CE0-99B6-1CA1DF5B81BD}">
  <sheetPr codeName="Sheet9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설정 버튼을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D96295CD-4BF5-4DD2-84CF-72488E0D111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98B6-C208-419F-8242-5AB3F29FCF6E}">
  <sheetPr codeName="Sheet10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 종료 버튼을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CDFC73AD-A96A-4FDC-8941-AF34F42FA79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1470-26A5-484C-A447-B2B19DAD5298}">
  <sheetPr codeName="Sheet11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사운드 볼륨을 조절한다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3A493F41-32CC-446B-AE94-773A83FFD7B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8D0D-4801-44C9-85ED-FE4A68CF6F6E}">
  <sheetPr codeName="Sheet12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Exit를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2C3ECCD9-9BF7-4CFF-ACA6-5C4ADA1B3FC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11A8-D395-4E7B-B347-BDAC79E990B8}">
  <sheetPr codeName="Sheet13"/>
  <dimension ref="A1:K38"/>
  <sheetViews>
    <sheetView zoomScale="130" zoomScaleNormal="130" workbookViewId="0">
      <selection activeCell="M39" sqref="M39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Scene 별로 사운드가 동일하게 조절되는지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0" t="s">
        <v>126</v>
      </c>
      <c r="D38" s="111"/>
      <c r="E38" s="111"/>
      <c r="F38" s="111"/>
      <c r="G38" s="111"/>
      <c r="H38" s="111"/>
      <c r="I38" s="111"/>
      <c r="J38" s="111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52BEC42F-F99E-4224-AB67-E9BD1715D44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E093-F4BB-4992-9D96-1F85692B8666}">
  <sheetPr codeName="Sheet14"/>
  <dimension ref="A1:K38"/>
  <sheetViews>
    <sheetView zoomScale="130" zoomScaleNormal="130" workbookViewId="0">
      <selection activeCell="H52" sqref="H5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볼륨을 올린다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29347295-AF85-42B9-876A-13FF3C39E2E7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CD4F-B7EF-47A7-9A08-541C517108AA}">
  <sheetPr codeName="Sheet15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볼륨을 내린다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63A05511-91ED-419A-B8C8-A7118AAB3F2C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D060-085B-4900-A4B6-B8344A3F8E4E}">
  <sheetPr codeName="Sheet16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상점 NPC와 대화한다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ECA6F705-7C0B-4B8E-A267-48575703962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74DB-2D05-4D8D-81F1-968F364EED2E}">
  <sheetPr codeName="Sheet17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상점 UI가 닫히는지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B26AD126-1E85-4D99-B27B-35AA37F562B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F1B3-8477-447D-9DA9-9C06210F8EDF}">
  <sheetPr codeName="Sheet18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상점 UI가 표시되는 동안 플레이어 이동이 제한된다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4C7F8B47-66B5-4B7D-9E09-1E1E297AFCE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58AD-2A96-44C7-9698-AE06764E1A78}">
  <sheetPr codeName="Sheet19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상점 UI를 닫은 후 플레이어 이동 제한이 해제된다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6FF605CE-6943-46FC-A757-AA8E3056D3F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716E-DC59-4480-948D-2109AF28F32F}">
  <sheetPr codeName="Sheet20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상점에서 아이템 구매 확인창이 뜨는지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F4C5F498-8353-426F-A49D-860C012A723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A202-8A9D-4C94-81EC-B75895BF8C7C}">
  <sheetPr codeName="Sheet21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19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아이템 구매 확인창에서 "네"를 선택한다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1EC0587F-A099-46DD-BC36-748B3993E5D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0285-7199-4E8D-A6E3-64278E1FC86F}">
  <sheetPr codeName="Sheet22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아이템 구매 확인창에서 "아니오"를  선택한다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576B6AB4-9154-4878-9AFE-3FF0440E065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72E6-DDF2-497A-95F7-30A49A52AC48}">
  <sheetPr codeName="Sheet23"/>
  <dimension ref="A1:K38"/>
  <sheetViews>
    <sheetView zoomScale="130" zoomScaleNormal="130" workbookViewId="0">
      <selection activeCell="O28" sqref="O28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아이템 구매 시 재화가 차감된다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0" t="s">
        <v>126</v>
      </c>
      <c r="D38" s="111"/>
      <c r="E38" s="111"/>
      <c r="F38" s="111"/>
      <c r="G38" s="111"/>
      <c r="H38" s="111"/>
      <c r="I38" s="111"/>
      <c r="J38" s="111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A730C904-7BB9-4308-BB6B-33D033CC70F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9F29-8DCA-43C3-8E23-30582D3E8DB1}">
  <sheetPr codeName="Sheet24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인벤토리 창을 활성화 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DB892A3D-C5EA-4683-9E4E-43A8F957C9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A2F0-8AFB-4E04-9E9D-296135E9D49A}">
  <sheetPr codeName="Sheet25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인벤토리 창을 비활성화 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1B4773C2-34FE-465D-B709-48E18011A5D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880C-8EAB-469C-83DA-2E74C9CBB345}">
  <sheetPr codeName="Sheet26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인벤토리 UI가 출력되는 중 플레이어가 이동가능 여부를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A29C5CE4-B38A-4C2E-95A9-87C091D34FC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185D-E6E3-4EF1-837F-833167AB0B0E}">
  <sheetPr codeName="Sheet27"/>
  <dimension ref="A1:K38"/>
  <sheetViews>
    <sheetView zoomScale="130" zoomScaleNormal="130" workbookViewId="0">
      <selection activeCell="C38" sqref="C38:J38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아이템 구매 후 인벤토리에 아이템이 추가된다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0" t="s">
        <v>126</v>
      </c>
      <c r="D38" s="111"/>
      <c r="E38" s="111"/>
      <c r="F38" s="111"/>
      <c r="G38" s="111"/>
      <c r="H38" s="111"/>
      <c r="I38" s="111"/>
      <c r="J38" s="111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B138B056-973C-4AE5-9714-81B5B024DF4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6480-64AF-4853-891F-06475775ABDF}">
  <sheetPr codeName="Sheet28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일반 NPC에게 아이템을 사용 후 해당 아이템이 인벤토리 창에서 차감되는지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73AAAC62-DCB7-4517-9C69-0BB00D908921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F150-FB72-47AD-A07A-4504C4D41175}">
  <sheetPr codeName="Sheet29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NPC와 처음 대화 시작 시 호감도가 0으로 표시된다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E603676C-D440-4F9B-B078-97224301C64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1ADD-21F7-4BA3-AADA-7877861D03DF}">
  <sheetPr codeName="Sheet30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NPC와 대화 중 호감도가 증가하는 선택지를 클릭한다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189843C7-9B3E-4AAE-86E0-6CD607FC421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5F18-7713-4C5E-B6BF-6F5C1B3604F8}">
  <sheetPr codeName="Sheet31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29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NPC와 대화 중 호감도가 감소하는 선택지를 클릭한다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66DA5AB2-399E-43E3-AFE1-09F226669E9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B9C0-FD00-46E4-8B66-3C61B6121E7D}">
  <sheetPr codeName="Sheet32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NPC와 대화 중 호감도가 불변하는 선택지를 클릭한다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900A98EC-4E8A-4525-BD9C-F04BCDDA742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BBB3-3F55-47C2-BCCA-216AD5F318CC}">
  <sheetPr codeName="Sheet33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NPC에게 할당되지 않은 호감도 아이템을 선물한다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33892400-6C45-448A-A2A2-3F5BE49D451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B285-48C4-431E-9F1D-1B5F253F6D55}">
  <sheetPr codeName="Sheet34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NPC에게 할당된 호감도 아이템을 선물한다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A87987AB-395C-4B0D-A945-F16C9414882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E3DC-DE10-4A03-8B8F-C9F2A57F383F}">
  <sheetPr codeName="Sheet35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호감도가 일정 수치에 도달하면 플레이어에게 귀속된다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29734227-1CB4-4977-BE0F-67285139109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9D20-C330-48D5-8AF3-6799099D54B6}">
  <sheetPr codeName="Sheet36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플레이어 이름을 입력한다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33340439-4732-4CBC-8114-E93A38789984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8607-16B7-45B6-92EC-0D73A2C75CBB}">
  <sheetPr codeName="Sheet37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방 이름을 입력한다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5746F207-21AC-48F0-B975-A7F9262B3F0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28F-6B6F-4BD9-908B-82097C4F9702}">
  <sheetPr codeName="Sheet38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방을 생성한다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9609DC55-0BE4-4064-A48A-46091FF4993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6F72-F480-4F66-B0BB-EBE2AE3E6BD3}">
  <sheetPr codeName="Sheet39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생성된 방에 참가한다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06517FD0-CDAF-4774-8735-A03A177C4CE2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EAEC-4EEE-4A5C-8935-7C637AD0C156}">
  <sheetPr codeName="Sheet40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게임을 시작한다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1DA8800F-6954-4202-940E-F719B91B3BE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F6D3-FBA1-41DC-BE60-7FE6D3990080}">
  <sheetPr codeName="Sheet41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39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플레이어 이름을 입력하지 않고 방을 생성 / 참가 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76C0A3F1-A9BE-4209-B356-5711DDF6EE5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8081-3D9B-49B7-A8F3-F0FB9EFA4308}">
  <sheetPr codeName="Sheet42"/>
  <dimension ref="A1:K38"/>
  <sheetViews>
    <sheetView zoomScale="130" zoomScaleNormal="130" workbookViewId="0">
      <selection activeCell="A13" sqref="A13:J37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방 이름을 입력하지 않고 방을 생성 / 참가 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2EC1E279-5D0B-4385-B181-6B073B346E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D5B5-6103-48B7-A43B-9A643172667B}">
  <sheetPr codeName="Sheet43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NPC와 일반 대화를 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E4CA11EF-1DB7-4B64-AD7D-69BF2CC941B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19AD-2870-4E65-AB39-E40AED80269A}">
  <sheetPr codeName="Sheet44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NPC와 대화가 중복 실행되는지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30E18F81-414E-4A2E-B7D4-4BAD4024E3A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5CF4-96D1-4B9F-B9DC-F0B5320BD332}">
  <sheetPr codeName="Sheet45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대화창 텍스트가 정상적으로 출력되는지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A79EE0EF-E4D4-491B-AF50-34708B34D56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C94F-A0C1-4468-AD16-79CF642AC9A0}">
  <sheetPr codeName="Sheet46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대화 중 다음 대화로 넘어간다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5F830C35-FAA7-4A25-96BA-5111CA44FA3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FFAB-A01A-424B-80FE-8E79DF9A34D7}">
  <sheetPr codeName="Sheet47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W(앞으로가기)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E30D9F9C-39A8-4F1D-BE4F-DB0B87D0531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2C9D-8FFF-4E45-83F4-15FAD21586A9}">
  <sheetPr codeName="Sheet48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S(뒤로가기)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D8F077CC-7417-4205-A841-788C55CF1162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AC9-6BFB-454D-88B4-4E87A84D54B4}">
  <sheetPr codeName="Sheet49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A(왼쪽으로가기)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67F9CDAD-470D-4BC8-B254-E628FE30777B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E1AD-85E5-4B1B-BA58-3A7ACF6FDAC6}">
  <sheetPr codeName="Sheet50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D(오른쪽으로가기)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DEE83CD2-8EDB-4590-B6D9-CB5D75498752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7A00-F812-46A8-9B65-58BD581665D2}">
  <sheetPr codeName="Sheet51"/>
  <dimension ref="A1:K38"/>
  <sheetViews>
    <sheetView zoomScale="130" zoomScaleNormal="130" workbookViewId="0">
      <selection activeCell="T12" sqref="T12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49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스페이스바(점프)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FD9CC2A5-BBF8-48BE-A08C-BB70AEE632C3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4C5D-4059-46F8-BB75-473434461C8B}">
  <sheetPr codeName="Sheet52"/>
  <dimension ref="A1:K38"/>
  <sheetViews>
    <sheetView zoomScale="130" zoomScaleNormal="130" workbookViewId="0">
      <selection activeCell="C38" sqref="C38:J38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W를 누르는 중 Shift(달리기) 를 누른다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0" t="s">
        <v>126</v>
      </c>
      <c r="D38" s="111"/>
      <c r="E38" s="111"/>
      <c r="F38" s="111"/>
      <c r="G38" s="111"/>
      <c r="H38" s="111"/>
      <c r="I38" s="111"/>
      <c r="J38" s="111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E133FD86-7C38-43D1-907A-EB8D61E82549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2600-E8BB-409F-9948-9223FFBCCDBF}">
  <sheetPr codeName="Sheet53"/>
  <dimension ref="A1:K38"/>
  <sheetViews>
    <sheetView zoomScale="130" zoomScaleNormal="130" workbookViewId="0">
      <selection activeCell="R30" sqref="R30:R3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타이머의 시간이 정상적으로 줄어드는지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91"/>
      <c r="C14" s="91"/>
      <c r="D14" s="91"/>
      <c r="E14" s="91"/>
      <c r="F14" s="91"/>
      <c r="G14" s="91"/>
      <c r="H14" s="91"/>
      <c r="I14" s="91"/>
      <c r="J14" s="92"/>
    </row>
    <row r="15" spans="1:11" x14ac:dyDescent="0.2">
      <c r="A15" s="90"/>
      <c r="B15" s="91"/>
      <c r="C15" s="91"/>
      <c r="D15" s="91"/>
      <c r="E15" s="91"/>
      <c r="F15" s="91"/>
      <c r="G15" s="91"/>
      <c r="H15" s="91"/>
      <c r="I15" s="91"/>
      <c r="J15" s="92"/>
    </row>
    <row r="16" spans="1:11" x14ac:dyDescent="0.2">
      <c r="A16" s="90"/>
      <c r="B16" s="91"/>
      <c r="C16" s="91"/>
      <c r="D16" s="91"/>
      <c r="E16" s="91"/>
      <c r="F16" s="91"/>
      <c r="G16" s="91"/>
      <c r="H16" s="91"/>
      <c r="I16" s="91"/>
      <c r="J16" s="92"/>
    </row>
    <row r="17" spans="1:10" x14ac:dyDescent="0.2">
      <c r="A17" s="90"/>
      <c r="B17" s="91"/>
      <c r="C17" s="91"/>
      <c r="D17" s="91"/>
      <c r="E17" s="91"/>
      <c r="F17" s="91"/>
      <c r="G17" s="91"/>
      <c r="H17" s="91"/>
      <c r="I17" s="91"/>
      <c r="J17" s="92"/>
    </row>
    <row r="18" spans="1:10" x14ac:dyDescent="0.2">
      <c r="A18" s="90"/>
      <c r="B18" s="91"/>
      <c r="C18" s="91"/>
      <c r="D18" s="91"/>
      <c r="E18" s="91"/>
      <c r="F18" s="91"/>
      <c r="G18" s="91"/>
      <c r="H18" s="91"/>
      <c r="I18" s="91"/>
      <c r="J18" s="92"/>
    </row>
    <row r="19" spans="1:10" x14ac:dyDescent="0.2">
      <c r="A19" s="90"/>
      <c r="B19" s="91"/>
      <c r="C19" s="91"/>
      <c r="D19" s="91"/>
      <c r="E19" s="91"/>
      <c r="F19" s="91"/>
      <c r="G19" s="91"/>
      <c r="H19" s="91"/>
      <c r="I19" s="91"/>
      <c r="J19" s="92"/>
    </row>
    <row r="20" spans="1:10" x14ac:dyDescent="0.2">
      <c r="A20" s="90"/>
      <c r="B20" s="91"/>
      <c r="C20" s="91"/>
      <c r="D20" s="91"/>
      <c r="E20" s="91"/>
      <c r="F20" s="91"/>
      <c r="G20" s="91"/>
      <c r="H20" s="91"/>
      <c r="I20" s="91"/>
      <c r="J20" s="92"/>
    </row>
    <row r="21" spans="1:10" x14ac:dyDescent="0.2">
      <c r="A21" s="90"/>
      <c r="B21" s="91"/>
      <c r="C21" s="91"/>
      <c r="D21" s="91"/>
      <c r="E21" s="91"/>
      <c r="F21" s="91"/>
      <c r="G21" s="91"/>
      <c r="H21" s="91"/>
      <c r="I21" s="91"/>
      <c r="J21" s="92"/>
    </row>
    <row r="22" spans="1:10" x14ac:dyDescent="0.2">
      <c r="A22" s="90"/>
      <c r="B22" s="91"/>
      <c r="C22" s="91"/>
      <c r="D22" s="91"/>
      <c r="E22" s="91"/>
      <c r="F22" s="91"/>
      <c r="G22" s="91"/>
      <c r="H22" s="91"/>
      <c r="I22" s="91"/>
      <c r="J22" s="92"/>
    </row>
    <row r="23" spans="1:10" x14ac:dyDescent="0.2">
      <c r="A23" s="90"/>
      <c r="B23" s="91"/>
      <c r="C23" s="91"/>
      <c r="D23" s="91"/>
      <c r="E23" s="91"/>
      <c r="F23" s="91"/>
      <c r="G23" s="91"/>
      <c r="H23" s="91"/>
      <c r="I23" s="91"/>
      <c r="J23" s="92"/>
    </row>
    <row r="24" spans="1:10" x14ac:dyDescent="0.2">
      <c r="A24" s="90"/>
      <c r="B24" s="91"/>
      <c r="C24" s="91"/>
      <c r="D24" s="91"/>
      <c r="E24" s="91"/>
      <c r="F24" s="91"/>
      <c r="G24" s="91"/>
      <c r="H24" s="91"/>
      <c r="I24" s="91"/>
      <c r="J24" s="92"/>
    </row>
    <row r="25" spans="1:10" x14ac:dyDescent="0.2">
      <c r="A25" s="90"/>
      <c r="B25" s="91"/>
      <c r="C25" s="91"/>
      <c r="D25" s="91"/>
      <c r="E25" s="91"/>
      <c r="F25" s="91"/>
      <c r="G25" s="91"/>
      <c r="H25" s="91"/>
      <c r="I25" s="91"/>
      <c r="J25" s="92"/>
    </row>
    <row r="26" spans="1:10" x14ac:dyDescent="0.2">
      <c r="A26" s="90"/>
      <c r="B26" s="91"/>
      <c r="C26" s="91"/>
      <c r="D26" s="91"/>
      <c r="E26" s="91"/>
      <c r="F26" s="91"/>
      <c r="G26" s="91"/>
      <c r="H26" s="91"/>
      <c r="I26" s="91"/>
      <c r="J26" s="92"/>
    </row>
    <row r="27" spans="1:10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2"/>
    </row>
    <row r="28" spans="1:10" x14ac:dyDescent="0.2">
      <c r="A28" s="90"/>
      <c r="B28" s="91"/>
      <c r="C28" s="91"/>
      <c r="D28" s="91"/>
      <c r="E28" s="91"/>
      <c r="F28" s="91"/>
      <c r="G28" s="91"/>
      <c r="H28" s="91"/>
      <c r="I28" s="91"/>
      <c r="J28" s="92"/>
    </row>
    <row r="29" spans="1:10" x14ac:dyDescent="0.2">
      <c r="A29" s="90"/>
      <c r="B29" s="91"/>
      <c r="C29" s="91"/>
      <c r="D29" s="91"/>
      <c r="E29" s="91"/>
      <c r="F29" s="91"/>
      <c r="G29" s="91"/>
      <c r="H29" s="91"/>
      <c r="I29" s="91"/>
      <c r="J29" s="92"/>
    </row>
    <row r="30" spans="1:10" x14ac:dyDescent="0.2">
      <c r="A30" s="90"/>
      <c r="B30" s="91"/>
      <c r="C30" s="91"/>
      <c r="D30" s="91"/>
      <c r="E30" s="91"/>
      <c r="F30" s="91"/>
      <c r="G30" s="91"/>
      <c r="H30" s="91"/>
      <c r="I30" s="91"/>
      <c r="J30" s="92"/>
    </row>
    <row r="31" spans="1:10" x14ac:dyDescent="0.2">
      <c r="A31" s="90"/>
      <c r="B31" s="91"/>
      <c r="C31" s="91"/>
      <c r="D31" s="91"/>
      <c r="E31" s="91"/>
      <c r="F31" s="91"/>
      <c r="G31" s="91"/>
      <c r="H31" s="91"/>
      <c r="I31" s="91"/>
      <c r="J31" s="92"/>
    </row>
    <row r="32" spans="1:10" x14ac:dyDescent="0.2">
      <c r="A32" s="90"/>
      <c r="B32" s="91"/>
      <c r="C32" s="91"/>
      <c r="D32" s="91"/>
      <c r="E32" s="91"/>
      <c r="F32" s="91"/>
      <c r="G32" s="91"/>
      <c r="H32" s="91"/>
      <c r="I32" s="91"/>
      <c r="J32" s="92"/>
    </row>
    <row r="33" spans="1:10" x14ac:dyDescent="0.2">
      <c r="A33" s="90"/>
      <c r="B33" s="91"/>
      <c r="C33" s="91"/>
      <c r="D33" s="91"/>
      <c r="E33" s="91"/>
      <c r="F33" s="91"/>
      <c r="G33" s="91"/>
      <c r="H33" s="91"/>
      <c r="I33" s="91"/>
      <c r="J33" s="92"/>
    </row>
    <row r="34" spans="1:10" x14ac:dyDescent="0.2">
      <c r="A34" s="90"/>
      <c r="B34" s="91"/>
      <c r="C34" s="91"/>
      <c r="D34" s="91"/>
      <c r="E34" s="91"/>
      <c r="F34" s="91"/>
      <c r="G34" s="91"/>
      <c r="H34" s="91"/>
      <c r="I34" s="91"/>
      <c r="J34" s="92"/>
    </row>
    <row r="35" spans="1:10" x14ac:dyDescent="0.2">
      <c r="A35" s="90"/>
      <c r="B35" s="91"/>
      <c r="C35" s="91"/>
      <c r="D35" s="91"/>
      <c r="E35" s="91"/>
      <c r="F35" s="91"/>
      <c r="G35" s="91"/>
      <c r="H35" s="91"/>
      <c r="I35" s="91"/>
      <c r="J35" s="92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91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97" t="s">
        <v>13</v>
      </c>
      <c r="D38" s="97"/>
      <c r="E38" s="97"/>
      <c r="F38" s="97"/>
      <c r="G38" s="97"/>
      <c r="H38" s="97"/>
      <c r="I38" s="97"/>
      <c r="J38" s="97"/>
    </row>
  </sheetData>
  <mergeCells count="20">
    <mergeCell ref="A10:J11"/>
    <mergeCell ref="A12:B12"/>
    <mergeCell ref="C12:J12"/>
    <mergeCell ref="A13:J37"/>
    <mergeCell ref="A38:B38"/>
    <mergeCell ref="C38:J38"/>
    <mergeCell ref="A9:B9"/>
    <mergeCell ref="C9:J9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8:J8"/>
  </mergeCells>
  <phoneticPr fontId="8" type="noConversion"/>
  <dataValidations count="1">
    <dataValidation type="list" allowBlank="1" showInputMessage="1" showErrorMessage="1" sqref="C5:E5 H5:J5" xr:uid="{697D10E9-825A-4D5C-A893-75D10AB8181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EC71-A16D-43EB-A92A-AB32CD20C795}">
  <sheetPr codeName="Sheet4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52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타이머가 끝나면 게임이 종료되고 로비 화면으로 돌아간다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62B1467C-040F-404F-A72A-030B9D0A928F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4936-B6AD-40CD-8985-B98D7E8A2AEF}">
  <sheetPr codeName="Sheet54"/>
  <dimension ref="A1:K38"/>
  <sheetViews>
    <sheetView zoomScale="130" zoomScaleNormal="130" workbookViewId="0">
      <selection activeCell="C38" sqref="C38:J38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53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로비로 돌아간 후 다시 게임을 시작한다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21" t="s">
        <v>126</v>
      </c>
      <c r="D38" s="119"/>
      <c r="E38" s="119"/>
      <c r="F38" s="119"/>
      <c r="G38" s="119"/>
      <c r="H38" s="119"/>
      <c r="I38" s="119"/>
      <c r="J38" s="120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2C5E6967-9E26-45AC-BFFE-B58AFB7896A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5CE8-D807-497E-9986-FF060627E8D5}">
  <sheetPr codeName="Sheet55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54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각 NPC의 이름이 NPC 오브젝트 상단에 표시된다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79F8C678-7DEC-47A2-9558-7A7CB3BADE3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2EB9-9989-43A5-8C66-8ABB0F71E319}">
  <sheetPr codeName="Sheet56"/>
  <dimension ref="A1:K38"/>
  <sheetViews>
    <sheetView zoomScale="130" zoomScaleNormal="130" workbookViewId="0">
      <selection activeCell="G44" sqref="G44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55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모든 텍스트에서 한글 폰트가 정상적으로 나오는지
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8" t="s">
        <v>126</v>
      </c>
      <c r="D38" s="119"/>
      <c r="E38" s="119"/>
      <c r="F38" s="119"/>
      <c r="G38" s="119"/>
      <c r="H38" s="119"/>
      <c r="I38" s="119"/>
      <c r="J38" s="120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C74E978E-58D6-42B6-B733-CE9EB1376E66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02E9-9BFB-428F-8A61-7B3D1C28290A}">
  <sheetPr codeName="Sheet57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56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타이머가 정상적으로 화면에 출력되는지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AECE5FB8-F234-498B-A184-96D50136842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4204-8262-4A0B-A13A-F1F13C33F4F2}">
  <sheetPr codeName="Sheet58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57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게임 결과 화면이 정상적으로 출력되는지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BCF145DB-9209-4075-A743-1B5816A2DC4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CD5B-6457-4977-A951-16D510040931}">
  <sheetPr codeName="Sheet59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58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맵이 정상적으로 화면에 보이는지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24E17D49-9BA7-47DF-99F9-BAE65FCA017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8421-44A2-420F-A34F-DDBB81F87FC3}">
  <sheetPr codeName="Sheet60"/>
  <dimension ref="A1:K38"/>
  <sheetViews>
    <sheetView zoomScale="130" zoomScaleNormal="130" workbookViewId="0"/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59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t="str" cm="1">
        <f t="array" aca="1" ref="C3" ca="1">INDEX(TestCase!$E:$E, $K$1)</f>
        <v>맵 내에 뚫리는 곳이 있는지 확인한다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5965B98B-50B4-45A8-A78A-BCEE0233277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381F-B4E3-4770-ABAA-6939BEC1AE7F}">
  <sheetPr codeName="Sheet61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60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cm="1">
        <f t="array" aca="1" ref="C3" ca="1">INDEX(TestCase!$E:$E, $K$1)</f>
        <v>0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E988BE4B-6D88-4325-BC02-56A541942302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E788-7A19-4EA8-8A71-2E70F16FB9AA}">
  <sheetPr codeName="Sheet62"/>
  <dimension ref="A1:K38"/>
  <sheetViews>
    <sheetView zoomScale="130" zoomScaleNormal="130" workbookViewId="0">
      <selection activeCell="L11" sqref="L11"/>
    </sheetView>
  </sheetViews>
  <sheetFormatPr defaultRowHeight="12.75" x14ac:dyDescent="0.2"/>
  <sheetData>
    <row r="1" spans="1:11" x14ac:dyDescent="0.2">
      <c r="K1" cm="1">
        <f t="array" aca="1" ref="K1" ca="1">VALUE(MID(CELL("filename",A1),FIND("]",CELL("filename",A1))+1,255)) + 1</f>
        <v>61</v>
      </c>
    </row>
    <row r="2" spans="1:11" ht="15.75" x14ac:dyDescent="0.2">
      <c r="A2" s="98" t="s">
        <v>193</v>
      </c>
      <c r="B2" s="99"/>
      <c r="C2" s="99"/>
      <c r="D2" s="99"/>
      <c r="E2" s="99"/>
      <c r="F2" s="99"/>
      <c r="G2" s="99"/>
      <c r="H2" s="99"/>
      <c r="I2" s="99"/>
      <c r="J2" s="100"/>
    </row>
    <row r="3" spans="1:11" x14ac:dyDescent="0.2">
      <c r="A3" s="82" t="s">
        <v>205</v>
      </c>
      <c r="B3" s="83"/>
      <c r="C3" s="101" cm="1">
        <f t="array" aca="1" ref="C3" ca="1">INDEX(TestCase!$E:$E, $K$1)</f>
        <v>0</v>
      </c>
      <c r="D3" s="102"/>
      <c r="E3" s="102"/>
      <c r="F3" s="102"/>
      <c r="G3" s="102"/>
      <c r="H3" s="102"/>
      <c r="I3" s="102"/>
      <c r="J3" s="103"/>
    </row>
    <row r="4" spans="1:11" ht="13.5" x14ac:dyDescent="0.2">
      <c r="A4" s="82" t="s">
        <v>194</v>
      </c>
      <c r="B4" s="83"/>
      <c r="C4" s="104"/>
      <c r="D4" s="105"/>
      <c r="E4" s="106"/>
      <c r="F4" s="82" t="s">
        <v>195</v>
      </c>
      <c r="G4" s="83"/>
      <c r="H4" s="107" t="s">
        <v>196</v>
      </c>
      <c r="I4" s="108"/>
      <c r="J4" s="109"/>
    </row>
    <row r="5" spans="1:11" x14ac:dyDescent="0.2">
      <c r="A5" s="82" t="s">
        <v>197</v>
      </c>
      <c r="B5" s="83"/>
      <c r="C5" s="101" t="s">
        <v>198</v>
      </c>
      <c r="D5" s="102"/>
      <c r="E5" s="103"/>
      <c r="F5" s="82" t="s">
        <v>199</v>
      </c>
      <c r="G5" s="83"/>
      <c r="H5" s="101" t="s">
        <v>200</v>
      </c>
      <c r="I5" s="102"/>
      <c r="J5" s="103"/>
    </row>
    <row r="6" spans="1:11" x14ac:dyDescent="0.2">
      <c r="A6" s="42"/>
      <c r="B6" s="42"/>
      <c r="C6" s="42"/>
      <c r="D6" s="42"/>
      <c r="E6" s="42"/>
      <c r="F6" s="42"/>
      <c r="G6" s="42"/>
      <c r="H6" s="42"/>
      <c r="I6" s="42"/>
      <c r="J6" s="42"/>
    </row>
    <row r="7" spans="1:11" x14ac:dyDescent="0.2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1" ht="15.75" x14ac:dyDescent="0.2">
      <c r="A8" s="98" t="s">
        <v>201</v>
      </c>
      <c r="B8" s="99"/>
      <c r="C8" s="99"/>
      <c r="D8" s="99"/>
      <c r="E8" s="99"/>
      <c r="F8" s="99"/>
      <c r="G8" s="99"/>
      <c r="H8" s="99"/>
      <c r="I8" s="99"/>
      <c r="J8" s="100"/>
    </row>
    <row r="9" spans="1:11" x14ac:dyDescent="0.2">
      <c r="A9" s="82" t="s">
        <v>202</v>
      </c>
      <c r="B9" s="83"/>
      <c r="C9" s="84"/>
      <c r="D9" s="85"/>
      <c r="E9" s="85"/>
      <c r="F9" s="85"/>
      <c r="G9" s="85"/>
      <c r="H9" s="85"/>
      <c r="I9" s="85"/>
      <c r="J9" s="86"/>
    </row>
    <row r="10" spans="1:11" x14ac:dyDescent="0.2">
      <c r="A10" s="76"/>
      <c r="B10" s="77"/>
      <c r="C10" s="77"/>
      <c r="D10" s="77"/>
      <c r="E10" s="77"/>
      <c r="F10" s="77"/>
      <c r="G10" s="77"/>
      <c r="H10" s="77"/>
      <c r="I10" s="77"/>
      <c r="J10" s="78"/>
    </row>
    <row r="11" spans="1:11" x14ac:dyDescent="0.2">
      <c r="A11" s="79"/>
      <c r="B11" s="80"/>
      <c r="C11" s="80"/>
      <c r="D11" s="80"/>
      <c r="E11" s="80"/>
      <c r="F11" s="80"/>
      <c r="G11" s="80"/>
      <c r="H11" s="80"/>
      <c r="I11" s="80"/>
      <c r="J11" s="81"/>
    </row>
    <row r="12" spans="1:11" x14ac:dyDescent="0.2">
      <c r="A12" s="82" t="s">
        <v>203</v>
      </c>
      <c r="B12" s="83"/>
      <c r="C12" s="84"/>
      <c r="D12" s="85"/>
      <c r="E12" s="85"/>
      <c r="F12" s="85"/>
      <c r="G12" s="85"/>
      <c r="H12" s="85"/>
      <c r="I12" s="85"/>
      <c r="J12" s="86"/>
    </row>
    <row r="13" spans="1:11" x14ac:dyDescent="0.2">
      <c r="A13" s="87"/>
      <c r="B13" s="88"/>
      <c r="C13" s="88"/>
      <c r="D13" s="88"/>
      <c r="E13" s="88"/>
      <c r="F13" s="88"/>
      <c r="G13" s="88"/>
      <c r="H13" s="88"/>
      <c r="I13" s="88"/>
      <c r="J13" s="89"/>
    </row>
    <row r="14" spans="1:11" x14ac:dyDescent="0.2">
      <c r="A14" s="90"/>
      <c r="B14" s="117"/>
      <c r="C14" s="117"/>
      <c r="D14" s="117"/>
      <c r="E14" s="117"/>
      <c r="F14" s="117"/>
      <c r="G14" s="117"/>
      <c r="H14" s="117"/>
      <c r="I14" s="117"/>
      <c r="J14" s="92"/>
    </row>
    <row r="15" spans="1:11" x14ac:dyDescent="0.2">
      <c r="A15" s="90"/>
      <c r="B15" s="117"/>
      <c r="C15" s="117"/>
      <c r="D15" s="117"/>
      <c r="E15" s="117"/>
      <c r="F15" s="117"/>
      <c r="G15" s="117"/>
      <c r="H15" s="117"/>
      <c r="I15" s="117"/>
      <c r="J15" s="92"/>
    </row>
    <row r="16" spans="1:11" x14ac:dyDescent="0.2">
      <c r="A16" s="90"/>
      <c r="B16" s="117"/>
      <c r="C16" s="117"/>
      <c r="D16" s="117"/>
      <c r="E16" s="117"/>
      <c r="F16" s="117"/>
      <c r="G16" s="117"/>
      <c r="H16" s="117"/>
      <c r="I16" s="117"/>
      <c r="J16" s="92"/>
    </row>
    <row r="17" spans="1:10" x14ac:dyDescent="0.2">
      <c r="A17" s="90"/>
      <c r="B17" s="117"/>
      <c r="C17" s="117"/>
      <c r="D17" s="117"/>
      <c r="E17" s="117"/>
      <c r="F17" s="117"/>
      <c r="G17" s="117"/>
      <c r="H17" s="117"/>
      <c r="I17" s="117"/>
      <c r="J17" s="92"/>
    </row>
    <row r="18" spans="1:10" x14ac:dyDescent="0.2">
      <c r="A18" s="90"/>
      <c r="B18" s="117"/>
      <c r="C18" s="117"/>
      <c r="D18" s="117"/>
      <c r="E18" s="117"/>
      <c r="F18" s="117"/>
      <c r="G18" s="117"/>
      <c r="H18" s="117"/>
      <c r="I18" s="117"/>
      <c r="J18" s="92"/>
    </row>
    <row r="19" spans="1:10" x14ac:dyDescent="0.2">
      <c r="A19" s="90"/>
      <c r="B19" s="117"/>
      <c r="C19" s="117"/>
      <c r="D19" s="117"/>
      <c r="E19" s="117"/>
      <c r="F19" s="117"/>
      <c r="G19" s="117"/>
      <c r="H19" s="117"/>
      <c r="I19" s="117"/>
      <c r="J19" s="92"/>
    </row>
    <row r="20" spans="1:10" x14ac:dyDescent="0.2">
      <c r="A20" s="90"/>
      <c r="B20" s="117"/>
      <c r="C20" s="117"/>
      <c r="D20" s="117"/>
      <c r="E20" s="117"/>
      <c r="F20" s="117"/>
      <c r="G20" s="117"/>
      <c r="H20" s="117"/>
      <c r="I20" s="117"/>
      <c r="J20" s="92"/>
    </row>
    <row r="21" spans="1:10" x14ac:dyDescent="0.2">
      <c r="A21" s="90"/>
      <c r="B21" s="117"/>
      <c r="C21" s="117"/>
      <c r="D21" s="117"/>
      <c r="E21" s="117"/>
      <c r="F21" s="117"/>
      <c r="G21" s="117"/>
      <c r="H21" s="117"/>
      <c r="I21" s="117"/>
      <c r="J21" s="92"/>
    </row>
    <row r="22" spans="1:10" x14ac:dyDescent="0.2">
      <c r="A22" s="90"/>
      <c r="B22" s="117"/>
      <c r="C22" s="117"/>
      <c r="D22" s="117"/>
      <c r="E22" s="117"/>
      <c r="F22" s="117"/>
      <c r="G22" s="117"/>
      <c r="H22" s="117"/>
      <c r="I22" s="117"/>
      <c r="J22" s="92"/>
    </row>
    <row r="23" spans="1:10" x14ac:dyDescent="0.2">
      <c r="A23" s="90"/>
      <c r="B23" s="117"/>
      <c r="C23" s="117"/>
      <c r="D23" s="117"/>
      <c r="E23" s="117"/>
      <c r="F23" s="117"/>
      <c r="G23" s="117"/>
      <c r="H23" s="117"/>
      <c r="I23" s="117"/>
      <c r="J23" s="92"/>
    </row>
    <row r="24" spans="1:10" x14ac:dyDescent="0.2">
      <c r="A24" s="90"/>
      <c r="B24" s="117"/>
      <c r="C24" s="117"/>
      <c r="D24" s="117"/>
      <c r="E24" s="117"/>
      <c r="F24" s="117"/>
      <c r="G24" s="117"/>
      <c r="H24" s="117"/>
      <c r="I24" s="117"/>
      <c r="J24" s="92"/>
    </row>
    <row r="25" spans="1:10" x14ac:dyDescent="0.2">
      <c r="A25" s="90"/>
      <c r="B25" s="117"/>
      <c r="C25" s="117"/>
      <c r="D25" s="117"/>
      <c r="E25" s="117"/>
      <c r="F25" s="117"/>
      <c r="G25" s="117"/>
      <c r="H25" s="117"/>
      <c r="I25" s="117"/>
      <c r="J25" s="92"/>
    </row>
    <row r="26" spans="1:10" x14ac:dyDescent="0.2">
      <c r="A26" s="90"/>
      <c r="B26" s="117"/>
      <c r="C26" s="117"/>
      <c r="D26" s="117"/>
      <c r="E26" s="117"/>
      <c r="F26" s="117"/>
      <c r="G26" s="117"/>
      <c r="H26" s="117"/>
      <c r="I26" s="117"/>
      <c r="J26" s="92"/>
    </row>
    <row r="27" spans="1:10" x14ac:dyDescent="0.2">
      <c r="A27" s="90"/>
      <c r="B27" s="117"/>
      <c r="C27" s="117"/>
      <c r="D27" s="117"/>
      <c r="E27" s="117"/>
      <c r="F27" s="117"/>
      <c r="G27" s="117"/>
      <c r="H27" s="117"/>
      <c r="I27" s="117"/>
      <c r="J27" s="92"/>
    </row>
    <row r="28" spans="1:10" x14ac:dyDescent="0.2">
      <c r="A28" s="90"/>
      <c r="B28" s="117"/>
      <c r="C28" s="117"/>
      <c r="D28" s="117"/>
      <c r="E28" s="117"/>
      <c r="F28" s="117"/>
      <c r="G28" s="117"/>
      <c r="H28" s="117"/>
      <c r="I28" s="117"/>
      <c r="J28" s="92"/>
    </row>
    <row r="29" spans="1:10" x14ac:dyDescent="0.2">
      <c r="A29" s="90"/>
      <c r="B29" s="117"/>
      <c r="C29" s="117"/>
      <c r="D29" s="117"/>
      <c r="E29" s="117"/>
      <c r="F29" s="117"/>
      <c r="G29" s="117"/>
      <c r="H29" s="117"/>
      <c r="I29" s="117"/>
      <c r="J29" s="92"/>
    </row>
    <row r="30" spans="1:10" x14ac:dyDescent="0.2">
      <c r="A30" s="90"/>
      <c r="B30" s="117"/>
      <c r="C30" s="117"/>
      <c r="D30" s="117"/>
      <c r="E30" s="117"/>
      <c r="F30" s="117"/>
      <c r="G30" s="117"/>
      <c r="H30" s="117"/>
      <c r="I30" s="117"/>
      <c r="J30" s="92"/>
    </row>
    <row r="31" spans="1:10" x14ac:dyDescent="0.2">
      <c r="A31" s="90"/>
      <c r="B31" s="117"/>
      <c r="C31" s="117"/>
      <c r="D31" s="117"/>
      <c r="E31" s="117"/>
      <c r="F31" s="117"/>
      <c r="G31" s="117"/>
      <c r="H31" s="117"/>
      <c r="I31" s="117"/>
      <c r="J31" s="92"/>
    </row>
    <row r="32" spans="1:10" x14ac:dyDescent="0.2">
      <c r="A32" s="90"/>
      <c r="B32" s="117"/>
      <c r="C32" s="117"/>
      <c r="D32" s="117"/>
      <c r="E32" s="117"/>
      <c r="F32" s="117"/>
      <c r="G32" s="117"/>
      <c r="H32" s="117"/>
      <c r="I32" s="117"/>
      <c r="J32" s="92"/>
    </row>
    <row r="33" spans="1:10" x14ac:dyDescent="0.2">
      <c r="A33" s="90"/>
      <c r="B33" s="117"/>
      <c r="C33" s="117"/>
      <c r="D33" s="117"/>
      <c r="E33" s="117"/>
      <c r="F33" s="117"/>
      <c r="G33" s="117"/>
      <c r="H33" s="117"/>
      <c r="I33" s="117"/>
      <c r="J33" s="92"/>
    </row>
    <row r="34" spans="1:10" x14ac:dyDescent="0.2">
      <c r="A34" s="90"/>
      <c r="B34" s="117"/>
      <c r="C34" s="117"/>
      <c r="D34" s="117"/>
      <c r="E34" s="117"/>
      <c r="F34" s="117"/>
      <c r="G34" s="117"/>
      <c r="H34" s="117"/>
      <c r="I34" s="117"/>
      <c r="J34" s="92"/>
    </row>
    <row r="35" spans="1:10" x14ac:dyDescent="0.2">
      <c r="A35" s="90"/>
      <c r="B35" s="117"/>
      <c r="C35" s="117"/>
      <c r="D35" s="117"/>
      <c r="E35" s="117"/>
      <c r="F35" s="117"/>
      <c r="G35" s="117"/>
      <c r="H35" s="117"/>
      <c r="I35" s="117"/>
      <c r="J35" s="92"/>
    </row>
    <row r="36" spans="1:10" x14ac:dyDescent="0.2">
      <c r="A36" s="90"/>
      <c r="B36" s="117"/>
      <c r="C36" s="117"/>
      <c r="D36" s="117"/>
      <c r="E36" s="117"/>
      <c r="F36" s="117"/>
      <c r="G36" s="117"/>
      <c r="H36" s="117"/>
      <c r="I36" s="117"/>
      <c r="J36" s="92"/>
    </row>
    <row r="37" spans="1:10" x14ac:dyDescent="0.2">
      <c r="A37" s="93"/>
      <c r="B37" s="94"/>
      <c r="C37" s="94"/>
      <c r="D37" s="94"/>
      <c r="E37" s="94"/>
      <c r="F37" s="94"/>
      <c r="G37" s="94"/>
      <c r="H37" s="94"/>
      <c r="I37" s="94"/>
      <c r="J37" s="95"/>
    </row>
    <row r="38" spans="1:10" ht="16.5" x14ac:dyDescent="0.2">
      <c r="A38" s="96" t="s">
        <v>204</v>
      </c>
      <c r="B38" s="96"/>
      <c r="C38" s="114" t="s">
        <v>13</v>
      </c>
      <c r="D38" s="115"/>
      <c r="E38" s="115"/>
      <c r="F38" s="115"/>
      <c r="G38" s="115"/>
      <c r="H38" s="115"/>
      <c r="I38" s="115"/>
      <c r="J38" s="116"/>
    </row>
  </sheetData>
  <mergeCells count="20">
    <mergeCell ref="A10:J11"/>
    <mergeCell ref="A12:B12"/>
    <mergeCell ref="C12:J12"/>
    <mergeCell ref="A13:J37"/>
    <mergeCell ref="A38:B38"/>
    <mergeCell ref="C38:J38"/>
    <mergeCell ref="A5:B5"/>
    <mergeCell ref="C5:E5"/>
    <mergeCell ref="F5:G5"/>
    <mergeCell ref="H5:J5"/>
    <mergeCell ref="A8:J8"/>
    <mergeCell ref="A9:B9"/>
    <mergeCell ref="C9:J9"/>
    <mergeCell ref="A2:J2"/>
    <mergeCell ref="A3:B3"/>
    <mergeCell ref="C3:J3"/>
    <mergeCell ref="A4:B4"/>
    <mergeCell ref="C4:E4"/>
    <mergeCell ref="F4:G4"/>
    <mergeCell ref="H4:J4"/>
  </mergeCells>
  <phoneticPr fontId="8" type="noConversion"/>
  <dataValidations count="1">
    <dataValidation type="list" allowBlank="1" showInputMessage="1" showErrorMessage="1" sqref="C5:E5 H5:J5" xr:uid="{675962D9-2684-4164-97CC-8C52C3815B81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62</vt:i4>
      </vt:variant>
      <vt:variant>
        <vt:lpstr>이름 지정된 범위</vt:lpstr>
      </vt:variant>
      <vt:variant>
        <vt:i4>1</vt:i4>
      </vt:variant>
    </vt:vector>
  </HeadingPairs>
  <TitlesOfParts>
    <vt:vector size="63" baseType="lpstr">
      <vt:lpstr>TestCase</vt:lpstr>
      <vt:lpstr>TC MAP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HJW</cp:lastModifiedBy>
  <dcterms:created xsi:type="dcterms:W3CDTF">2025-09-15T15:28:01Z</dcterms:created>
  <dcterms:modified xsi:type="dcterms:W3CDTF">2025-11-10T12:10:40Z</dcterms:modified>
</cp:coreProperties>
</file>