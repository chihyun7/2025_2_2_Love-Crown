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JW\1129\QA\"/>
    </mc:Choice>
  </mc:AlternateContent>
  <xr:revisionPtr revIDLastSave="0" documentId="13_ncr:1_{F2F40A61-A990-4095-80E6-66CD212AA13A}" xr6:coauthVersionLast="47" xr6:coauthVersionMax="47" xr10:uidLastSave="{00000000-0000-0000-0000-000000000000}"/>
  <bookViews>
    <workbookView xWindow="-120" yWindow="-120" windowWidth="38640" windowHeight="21840" firstSheet="48" activeTab="81" xr2:uid="{00000000-000D-0000-FFFF-FFFF00000000}"/>
  </bookViews>
  <sheets>
    <sheet name="TestCase" sheetId="1" r:id="rId1"/>
    <sheet name="TC MAP" sheetId="2" r:id="rId2"/>
    <sheet name="1" sheetId="3" r:id="rId3"/>
    <sheet name="2" sheetId="105" r:id="rId4"/>
    <sheet name="3" sheetId="106" r:id="rId5"/>
    <sheet name="4" sheetId="107" r:id="rId6"/>
    <sheet name="5" sheetId="108" r:id="rId7"/>
    <sheet name="6" sheetId="109" r:id="rId8"/>
    <sheet name="7" sheetId="110" r:id="rId9"/>
    <sheet name="8" sheetId="111" r:id="rId10"/>
    <sheet name="9" sheetId="112" r:id="rId11"/>
    <sheet name="10" sheetId="113" r:id="rId12"/>
    <sheet name="11" sheetId="114" r:id="rId13"/>
    <sheet name="12" sheetId="115" r:id="rId14"/>
    <sheet name="13" sheetId="116" r:id="rId15"/>
    <sheet name="14" sheetId="117" r:id="rId16"/>
    <sheet name="15" sheetId="118" r:id="rId17"/>
    <sheet name="16" sheetId="119" r:id="rId18"/>
    <sheet name="17" sheetId="120" r:id="rId19"/>
    <sheet name="18" sheetId="121" r:id="rId20"/>
    <sheet name="19" sheetId="122" r:id="rId21"/>
    <sheet name="20" sheetId="123" r:id="rId22"/>
    <sheet name="21" sheetId="124" r:id="rId23"/>
    <sheet name="22" sheetId="125" r:id="rId24"/>
    <sheet name="23" sheetId="126" r:id="rId25"/>
    <sheet name="24" sheetId="127" r:id="rId26"/>
    <sheet name="25" sheetId="128" r:id="rId27"/>
    <sheet name="26" sheetId="129" r:id="rId28"/>
    <sheet name="27" sheetId="130" r:id="rId29"/>
    <sheet name="28" sheetId="131" r:id="rId30"/>
    <sheet name="29" sheetId="132" r:id="rId31"/>
    <sheet name="30" sheetId="133" r:id="rId32"/>
    <sheet name="31" sheetId="134" r:id="rId33"/>
    <sheet name="32" sheetId="135" r:id="rId34"/>
    <sheet name="33" sheetId="136" r:id="rId35"/>
    <sheet name="34" sheetId="137" r:id="rId36"/>
    <sheet name="35" sheetId="138" r:id="rId37"/>
    <sheet name="36" sheetId="139" r:id="rId38"/>
    <sheet name="37" sheetId="140" r:id="rId39"/>
    <sheet name="38" sheetId="141" r:id="rId40"/>
    <sheet name="39" sheetId="142" r:id="rId41"/>
    <sheet name="40" sheetId="143" r:id="rId42"/>
    <sheet name="41" sheetId="144" r:id="rId43"/>
    <sheet name="42" sheetId="145" r:id="rId44"/>
    <sheet name="43" sheetId="146" r:id="rId45"/>
    <sheet name="44" sheetId="147" r:id="rId46"/>
    <sheet name="45" sheetId="148" r:id="rId47"/>
    <sheet name="46" sheetId="149" r:id="rId48"/>
    <sheet name="47" sheetId="150" r:id="rId49"/>
    <sheet name="48" sheetId="151" r:id="rId50"/>
    <sheet name="49" sheetId="152" r:id="rId51"/>
    <sheet name="50" sheetId="153" r:id="rId52"/>
    <sheet name="51" sheetId="154" r:id="rId53"/>
    <sheet name="52" sheetId="155" r:id="rId54"/>
    <sheet name="53" sheetId="156" r:id="rId55"/>
    <sheet name="54" sheetId="157" r:id="rId56"/>
    <sheet name="55" sheetId="158" r:id="rId57"/>
    <sheet name="56" sheetId="159" r:id="rId58"/>
    <sheet name="57" sheetId="160" r:id="rId59"/>
    <sheet name="58" sheetId="161" r:id="rId60"/>
    <sheet name="59" sheetId="162" r:id="rId61"/>
    <sheet name="60" sheetId="163" r:id="rId62"/>
    <sheet name="61" sheetId="164" r:id="rId63"/>
    <sheet name="62" sheetId="165" r:id="rId64"/>
    <sheet name="63" sheetId="166" r:id="rId65"/>
    <sheet name="64" sheetId="167" r:id="rId66"/>
    <sheet name="65" sheetId="168" r:id="rId67"/>
    <sheet name="66" sheetId="169" r:id="rId68"/>
    <sheet name="67" sheetId="170" r:id="rId69"/>
    <sheet name="68" sheetId="171" r:id="rId70"/>
    <sheet name="69" sheetId="172" r:id="rId71"/>
    <sheet name="70" sheetId="173" r:id="rId72"/>
    <sheet name="71" sheetId="174" r:id="rId73"/>
    <sheet name="72" sheetId="175" r:id="rId74"/>
    <sheet name="73" sheetId="176" r:id="rId75"/>
    <sheet name="74" sheetId="177" r:id="rId76"/>
    <sheet name="75" sheetId="178" r:id="rId77"/>
    <sheet name="76" sheetId="179" r:id="rId78"/>
    <sheet name="77" sheetId="180" r:id="rId79"/>
    <sheet name="78" sheetId="181" r:id="rId80"/>
    <sheet name="79" sheetId="182" r:id="rId81"/>
    <sheet name="80" sheetId="183" r:id="rId82"/>
  </sheets>
  <definedNames>
    <definedName name="머릿글" localSheetId="0">TestCase!$B$1:$K$1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1" i="183" l="1" a="1"/>
  <c r="K1" i="183" s="1"/>
  <c r="C3" i="183" s="1" a="1"/>
  <c r="C3" i="183" s="1"/>
  <c r="K1" i="182" a="1"/>
  <c r="K1" i="182" s="1"/>
  <c r="C3" i="182" s="1" a="1"/>
  <c r="C3" i="182" s="1"/>
  <c r="K1" i="181" a="1"/>
  <c r="K1" i="181" s="1"/>
  <c r="C3" i="181" s="1" a="1"/>
  <c r="C3" i="181" s="1"/>
  <c r="K1" i="180" a="1"/>
  <c r="K1" i="180" s="1"/>
  <c r="C3" i="180" s="1" a="1"/>
  <c r="C3" i="180" s="1"/>
  <c r="K1" i="179" a="1"/>
  <c r="K1" i="179" s="1"/>
  <c r="C3" i="179" s="1" a="1"/>
  <c r="C3" i="179" s="1"/>
  <c r="K1" i="178" a="1"/>
  <c r="K1" i="178" s="1"/>
  <c r="C3" i="178" s="1" a="1"/>
  <c r="C3" i="178" s="1"/>
  <c r="K1" i="177" a="1"/>
  <c r="K1" i="177" s="1"/>
  <c r="C3" i="177" s="1" a="1"/>
  <c r="C3" i="177" s="1"/>
  <c r="K1" i="176" a="1"/>
  <c r="K1" i="176" s="1"/>
  <c r="C3" i="176" s="1" a="1"/>
  <c r="C3" i="176" s="1"/>
  <c r="K1" i="175" a="1"/>
  <c r="K1" i="175" s="1"/>
  <c r="C3" i="175" s="1" a="1"/>
  <c r="C3" i="175" s="1"/>
  <c r="K1" i="174" a="1"/>
  <c r="K1" i="174" s="1"/>
  <c r="C3" i="174" s="1" a="1"/>
  <c r="C3" i="174" s="1"/>
  <c r="K1" i="173" a="1"/>
  <c r="K1" i="173" s="1"/>
  <c r="C3" i="173" s="1" a="1"/>
  <c r="C3" i="173" s="1"/>
  <c r="K1" i="172" a="1"/>
  <c r="K1" i="172" s="1"/>
  <c r="C3" i="172" s="1" a="1"/>
  <c r="C3" i="172" s="1"/>
  <c r="K1" i="171" a="1"/>
  <c r="K1" i="171" s="1"/>
  <c r="C3" i="171" s="1" a="1"/>
  <c r="C3" i="171" s="1"/>
  <c r="K1" i="170" a="1"/>
  <c r="K1" i="170" s="1"/>
  <c r="C3" i="170" s="1" a="1"/>
  <c r="C3" i="170" s="1"/>
  <c r="K1" i="169" a="1"/>
  <c r="K1" i="169" s="1"/>
  <c r="C3" i="169" s="1" a="1"/>
  <c r="C3" i="169" s="1"/>
  <c r="K1" i="168" a="1"/>
  <c r="K1" i="168" s="1"/>
  <c r="C3" i="168" s="1" a="1"/>
  <c r="C3" i="168" s="1"/>
  <c r="K1" i="167" a="1"/>
  <c r="K1" i="167" s="1"/>
  <c r="C3" i="167" s="1" a="1"/>
  <c r="C3" i="167" s="1"/>
  <c r="K1" i="166" a="1"/>
  <c r="K1" i="166" s="1"/>
  <c r="C3" i="166" s="1" a="1"/>
  <c r="C3" i="166" s="1"/>
  <c r="K1" i="165" a="1"/>
  <c r="K1" i="165" s="1"/>
  <c r="C3" i="165" s="1" a="1"/>
  <c r="C3" i="165" s="1"/>
  <c r="K1" i="164" a="1"/>
  <c r="K1" i="164" s="1"/>
  <c r="C3" i="164" s="1" a="1"/>
  <c r="C3" i="164" s="1"/>
  <c r="L81" i="1"/>
  <c r="L80" i="1"/>
  <c r="L78" i="1"/>
  <c r="L77" i="1"/>
  <c r="L76" i="1"/>
  <c r="L75" i="1"/>
  <c r="A63" i="1"/>
  <c r="A64" i="1"/>
  <c r="A65" i="1"/>
  <c r="A66" i="1"/>
  <c r="A62" i="1"/>
  <c r="A61" i="1"/>
  <c r="A60" i="1"/>
  <c r="A59" i="1"/>
  <c r="A58" i="1"/>
  <c r="A57" i="1"/>
  <c r="A56" i="1"/>
  <c r="A55" i="1"/>
  <c r="A54" i="1"/>
  <c r="A53" i="1"/>
  <c r="A52" i="1"/>
  <c r="A51" i="1"/>
  <c r="A81" i="1"/>
  <c r="A80" i="1"/>
  <c r="A78" i="1"/>
  <c r="K1" i="163" a="1"/>
  <c r="K1" i="163" s="1"/>
  <c r="C3" i="163" s="1" a="1"/>
  <c r="C3" i="163" s="1"/>
  <c r="K1" i="162" a="1"/>
  <c r="K1" i="162" s="1"/>
  <c r="C3" i="162" s="1" a="1"/>
  <c r="C3" i="162" s="1"/>
  <c r="K1" i="161" a="1"/>
  <c r="K1" i="161" s="1"/>
  <c r="C3" i="161" s="1" a="1"/>
  <c r="C3" i="161" s="1"/>
  <c r="K1" i="160" a="1"/>
  <c r="K1" i="160" s="1"/>
  <c r="C3" i="160" s="1" a="1"/>
  <c r="C3" i="160" s="1"/>
  <c r="K1" i="159" a="1"/>
  <c r="K1" i="159" s="1"/>
  <c r="C3" i="159" s="1" a="1"/>
  <c r="C3" i="159" s="1"/>
  <c r="K1" i="158" a="1"/>
  <c r="K1" i="158" s="1"/>
  <c r="C3" i="158" s="1" a="1"/>
  <c r="C3" i="158" s="1"/>
  <c r="K1" i="157" a="1"/>
  <c r="K1" i="157" s="1"/>
  <c r="C3" i="157" s="1" a="1"/>
  <c r="C3" i="157" s="1"/>
  <c r="K1" i="156" a="1"/>
  <c r="K1" i="156" s="1"/>
  <c r="C3" i="156" s="1" a="1"/>
  <c r="C3" i="156" s="1"/>
  <c r="K1" i="155" a="1"/>
  <c r="K1" i="155" s="1"/>
  <c r="C3" i="155" s="1" a="1"/>
  <c r="C3" i="155" s="1"/>
  <c r="K1" i="154" a="1"/>
  <c r="K1" i="154" s="1"/>
  <c r="C3" i="154" s="1" a="1"/>
  <c r="C3" i="154" s="1"/>
  <c r="A44" i="1"/>
  <c r="A43" i="1"/>
  <c r="A42" i="1"/>
  <c r="A41" i="1"/>
  <c r="A69" i="1"/>
  <c r="A50" i="1"/>
  <c r="A49" i="1"/>
  <c r="A48" i="1"/>
  <c r="A47" i="1"/>
  <c r="A46" i="1"/>
  <c r="A45" i="1"/>
  <c r="A77" i="1" l="1"/>
  <c r="A76" i="1"/>
  <c r="A75" i="1"/>
  <c r="A74" i="1"/>
  <c r="A73" i="1"/>
  <c r="A72" i="1"/>
  <c r="A71" i="1"/>
  <c r="A70" i="1"/>
  <c r="A68" i="1"/>
  <c r="A67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K1" i="153" a="1"/>
  <c r="K1" i="153" s="1"/>
  <c r="C3" i="153" s="1" a="1"/>
  <c r="C3" i="153" s="1"/>
  <c r="K1" i="152" a="1"/>
  <c r="K1" i="152" s="1"/>
  <c r="C3" i="152" s="1" a="1"/>
  <c r="C3" i="152" s="1"/>
  <c r="K1" i="151" a="1"/>
  <c r="K1" i="151" s="1"/>
  <c r="C3" i="151" s="1" a="1"/>
  <c r="C3" i="151" s="1"/>
  <c r="K1" i="150" a="1"/>
  <c r="K1" i="150" s="1"/>
  <c r="C3" i="150" s="1" a="1"/>
  <c r="C3" i="150" s="1"/>
  <c r="K1" i="149" a="1"/>
  <c r="K1" i="149" s="1"/>
  <c r="C3" i="149" s="1" a="1"/>
  <c r="C3" i="149" s="1"/>
  <c r="K1" i="148" a="1"/>
  <c r="K1" i="148" s="1"/>
  <c r="C3" i="148" s="1" a="1"/>
  <c r="C3" i="148" s="1"/>
  <c r="K1" i="147" a="1"/>
  <c r="K1" i="147" s="1"/>
  <c r="C3" i="147" s="1" a="1"/>
  <c r="C3" i="147" s="1"/>
  <c r="K1" i="146" a="1"/>
  <c r="K1" i="146" s="1"/>
  <c r="C3" i="146" s="1" a="1"/>
  <c r="C3" i="146" s="1"/>
  <c r="K1" i="145" a="1"/>
  <c r="K1" i="145" s="1"/>
  <c r="C3" i="145" s="1" a="1"/>
  <c r="C3" i="145" s="1"/>
  <c r="K1" i="144" a="1"/>
  <c r="K1" i="144" s="1"/>
  <c r="C3" i="144" s="1" a="1"/>
  <c r="C3" i="144" s="1"/>
  <c r="K1" i="143" a="1"/>
  <c r="K1" i="143" s="1"/>
  <c r="C3" i="143" s="1" a="1"/>
  <c r="C3" i="143" s="1"/>
  <c r="K1" i="142" a="1"/>
  <c r="K1" i="142" s="1"/>
  <c r="C3" i="142" s="1" a="1"/>
  <c r="C3" i="142" s="1"/>
  <c r="K1" i="141" a="1"/>
  <c r="K1" i="141" s="1"/>
  <c r="C3" i="141" s="1" a="1"/>
  <c r="C3" i="141" s="1"/>
  <c r="K1" i="140" a="1"/>
  <c r="K1" i="140" s="1"/>
  <c r="C3" i="140" s="1" a="1"/>
  <c r="C3" i="140" s="1"/>
  <c r="K1" i="139" a="1"/>
  <c r="K1" i="139" s="1"/>
  <c r="C3" i="139" s="1" a="1"/>
  <c r="C3" i="139" s="1"/>
  <c r="K1" i="138" a="1"/>
  <c r="K1" i="138" s="1"/>
  <c r="C3" i="138" s="1" a="1"/>
  <c r="C3" i="138" s="1"/>
  <c r="K1" i="137" a="1"/>
  <c r="K1" i="137" s="1"/>
  <c r="C3" i="137" s="1" a="1"/>
  <c r="C3" i="137" s="1"/>
  <c r="K1" i="136" a="1"/>
  <c r="K1" i="136" s="1"/>
  <c r="C3" i="136" s="1" a="1"/>
  <c r="C3" i="136" s="1"/>
  <c r="K1" i="135" a="1"/>
  <c r="K1" i="135" s="1"/>
  <c r="C3" i="135" s="1" a="1"/>
  <c r="C3" i="135" s="1"/>
  <c r="K1" i="134" a="1"/>
  <c r="K1" i="134" s="1"/>
  <c r="C3" i="134" s="1" a="1"/>
  <c r="C3" i="134" s="1"/>
  <c r="K1" i="133" a="1"/>
  <c r="K1" i="133" s="1"/>
  <c r="C3" i="133" s="1" a="1"/>
  <c r="C3" i="133" s="1"/>
  <c r="K1" i="132" a="1"/>
  <c r="K1" i="132" s="1"/>
  <c r="C3" i="132" s="1" a="1"/>
  <c r="C3" i="132" s="1"/>
  <c r="K1" i="131" a="1"/>
  <c r="K1" i="131" s="1"/>
  <c r="C3" i="131" s="1" a="1"/>
  <c r="C3" i="131" s="1"/>
  <c r="K1" i="130" a="1"/>
  <c r="K1" i="130" s="1"/>
  <c r="C3" i="130" s="1" a="1"/>
  <c r="C3" i="130" s="1"/>
  <c r="K1" i="129" a="1"/>
  <c r="K1" i="129" s="1"/>
  <c r="C3" i="129" s="1" a="1"/>
  <c r="C3" i="129" s="1"/>
  <c r="K1" i="128" a="1"/>
  <c r="K1" i="128" s="1"/>
  <c r="C3" i="128" s="1" a="1"/>
  <c r="C3" i="128" s="1"/>
  <c r="K1" i="127" a="1"/>
  <c r="K1" i="127" s="1"/>
  <c r="C3" i="127" s="1" a="1"/>
  <c r="C3" i="127" s="1"/>
  <c r="K1" i="126" a="1"/>
  <c r="K1" i="126" s="1"/>
  <c r="C3" i="126" s="1" a="1"/>
  <c r="C3" i="126" s="1"/>
  <c r="K1" i="125" a="1"/>
  <c r="K1" i="125" s="1"/>
  <c r="C3" i="125" s="1" a="1"/>
  <c r="C3" i="125" s="1"/>
  <c r="K1" i="124" a="1"/>
  <c r="K1" i="124" s="1"/>
  <c r="C3" i="124" s="1" a="1"/>
  <c r="C3" i="124" s="1"/>
  <c r="K1" i="123" a="1"/>
  <c r="K1" i="123" s="1"/>
  <c r="C3" i="123" s="1" a="1"/>
  <c r="C3" i="123" s="1"/>
  <c r="K1" i="122" a="1"/>
  <c r="K1" i="122" s="1"/>
  <c r="C3" i="122" s="1" a="1"/>
  <c r="C3" i="122" s="1"/>
  <c r="K1" i="121" a="1"/>
  <c r="K1" i="121" s="1"/>
  <c r="C3" i="121" s="1" a="1"/>
  <c r="C3" i="121" s="1"/>
  <c r="K1" i="120" a="1"/>
  <c r="K1" i="120" s="1"/>
  <c r="C3" i="120" s="1" a="1"/>
  <c r="C3" i="120" s="1"/>
  <c r="K1" i="119" a="1"/>
  <c r="K1" i="119" s="1"/>
  <c r="C3" i="119" s="1" a="1"/>
  <c r="C3" i="119" s="1"/>
  <c r="K1" i="118" a="1"/>
  <c r="K1" i="118" s="1"/>
  <c r="C3" i="118" s="1" a="1"/>
  <c r="C3" i="118" s="1"/>
  <c r="K1" i="117" a="1"/>
  <c r="K1" i="117" s="1"/>
  <c r="C3" i="117" s="1" a="1"/>
  <c r="C3" i="117" s="1"/>
  <c r="K1" i="116" a="1"/>
  <c r="K1" i="116" s="1"/>
  <c r="C3" i="116" s="1" a="1"/>
  <c r="C3" i="116" s="1"/>
  <c r="K1" i="115" a="1"/>
  <c r="K1" i="115" s="1"/>
  <c r="C3" i="115" s="1" a="1"/>
  <c r="C3" i="115" s="1"/>
  <c r="K1" i="114" a="1"/>
  <c r="K1" i="114" s="1"/>
  <c r="C3" i="114" s="1" a="1"/>
  <c r="C3" i="114" s="1"/>
  <c r="K1" i="113" a="1"/>
  <c r="K1" i="113" s="1"/>
  <c r="C3" i="113" s="1" a="1"/>
  <c r="C3" i="113" s="1"/>
  <c r="K1" i="112" a="1"/>
  <c r="K1" i="112" s="1"/>
  <c r="C3" i="112" s="1" a="1"/>
  <c r="C3" i="112" s="1"/>
  <c r="K1" i="111" a="1"/>
  <c r="K1" i="111" s="1"/>
  <c r="C3" i="111" s="1" a="1"/>
  <c r="C3" i="111" s="1"/>
  <c r="K1" i="110" a="1"/>
  <c r="K1" i="110" s="1"/>
  <c r="C3" i="110" s="1" a="1"/>
  <c r="C3" i="110" s="1"/>
  <c r="K1" i="109" a="1"/>
  <c r="K1" i="109" s="1"/>
  <c r="C3" i="109" s="1" a="1"/>
  <c r="C3" i="109" s="1"/>
  <c r="K1" i="108" a="1"/>
  <c r="K1" i="108" s="1"/>
  <c r="C3" i="108" s="1" a="1"/>
  <c r="C3" i="108" s="1"/>
  <c r="K1" i="107" a="1"/>
  <c r="K1" i="107" s="1"/>
  <c r="C3" i="107" s="1" a="1"/>
  <c r="C3" i="107" s="1"/>
  <c r="K1" i="106" a="1"/>
  <c r="K1" i="106" s="1"/>
  <c r="C3" i="106" s="1" a="1"/>
  <c r="C3" i="106" s="1"/>
  <c r="K1" i="105" a="1"/>
  <c r="K1" i="105" s="1"/>
  <c r="C3" i="105" s="1" a="1"/>
  <c r="C3" i="105" s="1"/>
  <c r="K1" i="3" a="1"/>
  <c r="K1" i="3" s="1"/>
  <c r="L14" i="1" l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l="1"/>
  <c r="L31" i="1" s="1"/>
  <c r="L29" i="1" l="1"/>
  <c r="L32" i="1" s="1"/>
  <c r="L34" i="1" s="1"/>
  <c r="L35" i="1" s="1"/>
  <c r="L36" i="1" s="1"/>
  <c r="L37" i="1" s="1"/>
  <c r="L30" i="1"/>
  <c r="L33" i="1" s="1"/>
  <c r="L6" i="1"/>
  <c r="L7" i="1" s="1"/>
  <c r="L8" i="1" s="1"/>
  <c r="L9" i="1" s="1"/>
  <c r="L10" i="1" s="1"/>
  <c r="L38" i="1" l="1"/>
  <c r="L70" i="1"/>
  <c r="L12" i="1"/>
  <c r="L11" i="1"/>
  <c r="L13" i="1" s="1"/>
  <c r="L2" i="1"/>
  <c r="L3" i="1" s="1"/>
  <c r="L4" i="1" s="1"/>
  <c r="L5" i="1" s="1"/>
  <c r="I3" i="2"/>
  <c r="L39" i="1" l="1"/>
  <c r="L71" i="1"/>
  <c r="L40" i="1" l="1"/>
  <c r="L41" i="1" s="1"/>
  <c r="L42" i="1" s="1"/>
  <c r="L43" i="1" s="1"/>
  <c r="L44" i="1" s="1"/>
  <c r="L45" i="1" s="1"/>
  <c r="G4" i="2"/>
  <c r="G5" i="2"/>
  <c r="G3" i="2"/>
  <c r="L72" i="1" l="1"/>
  <c r="G6" i="2"/>
  <c r="F4" i="2"/>
  <c r="F5" i="2"/>
  <c r="F3" i="2"/>
  <c r="L46" i="1" l="1"/>
  <c r="L73" i="1"/>
  <c r="F6" i="2"/>
  <c r="H4" i="2"/>
  <c r="H5" i="2"/>
  <c r="H3" i="2"/>
  <c r="L47" i="1" l="1"/>
  <c r="L48" i="1" s="1"/>
  <c r="L49" i="1" s="1"/>
  <c r="L50" i="1" s="1"/>
  <c r="L74" i="1"/>
  <c r="H6" i="2"/>
  <c r="L51" i="1" l="1"/>
  <c r="L52" i="1" l="1"/>
  <c r="L53" i="1" l="1"/>
  <c r="C3" i="3" a="1"/>
  <c r="C3" i="3" s="1"/>
  <c r="L54" i="1" l="1"/>
  <c r="L55" i="1" l="1"/>
  <c r="L56" i="1" l="1"/>
  <c r="L57" i="1" l="1"/>
  <c r="L58" i="1" l="1"/>
  <c r="L59" i="1" l="1"/>
  <c r="L60" i="1" l="1"/>
  <c r="L61" i="1" l="1"/>
  <c r="L62" i="1" s="1"/>
  <c r="L63" i="1" s="1"/>
  <c r="L64" i="1" s="1"/>
  <c r="L65" i="1" s="1"/>
  <c r="L66" i="1" s="1"/>
  <c r="L67" i="1" s="1"/>
  <c r="L68" i="1" s="1"/>
  <c r="L69" i="1" l="1"/>
  <c r="E3" i="2"/>
  <c r="E5" i="2"/>
  <c r="E4" i="2"/>
  <c r="E6" i="2" l="1"/>
  <c r="D5" i="2"/>
  <c r="I5" i="2" s="1"/>
  <c r="J5" i="2" s="1"/>
  <c r="D4" i="2"/>
  <c r="I4" i="2" s="1"/>
  <c r="D3" i="2"/>
  <c r="B4" i="2"/>
  <c r="B3" i="2"/>
  <c r="B5" i="2"/>
  <c r="J4" i="2" l="1"/>
  <c r="I6" i="2"/>
  <c r="J3" i="2"/>
  <c r="B6" i="2"/>
  <c r="D6" i="2"/>
  <c r="D7" i="2" s="1"/>
  <c r="E7" i="2"/>
  <c r="C3" i="2" l="1"/>
  <c r="H7" i="2"/>
  <c r="G7" i="2"/>
  <c r="F7" i="2"/>
  <c r="C4" i="2"/>
  <c r="C5" i="2"/>
  <c r="I7" i="2"/>
  <c r="C6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000-000001000000}">
      <text>
        <r>
          <rPr>
            <sz val="10"/>
            <color rgb="FF000000"/>
            <rFont val="돋움"/>
            <family val="3"/>
            <charset val="129"/>
          </rPr>
          <t>케이스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번호</t>
        </r>
        <r>
          <rPr>
            <sz val="10"/>
            <color rgb="FF000000"/>
            <rFont val="Arial"/>
            <family val="2"/>
          </rPr>
          <t xml:space="preserve">, </t>
        </r>
        <r>
          <rPr>
            <sz val="10"/>
            <color rgb="FF000000"/>
            <rFont val="돋움"/>
            <family val="3"/>
            <charset val="129"/>
          </rPr>
          <t>카운트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용도</t>
        </r>
      </text>
    </comment>
    <comment ref="B1" authorId="0" shapeId="0" xr:uid="{00000000-0006-0000-0000-000002000000}">
      <text>
        <r>
          <rPr>
            <sz val="10"/>
            <color rgb="FF000000"/>
            <rFont val="Arial"/>
            <family val="2"/>
          </rPr>
          <t>프로그램의 가장 큰단위로 나눌 수 있는 시스템 범주</t>
        </r>
      </text>
    </comment>
    <comment ref="C1" authorId="0" shapeId="0" xr:uid="{00000000-0006-0000-0000-000003000000}">
      <text>
        <r>
          <rPr>
            <sz val="10"/>
            <color rgb="FF000000"/>
            <rFont val="Arial"/>
            <family val="2"/>
          </rPr>
          <t>모듈의 집합을 알기 쉽도록 명칭</t>
        </r>
      </text>
    </comment>
    <comment ref="D1" authorId="0" shapeId="0" xr:uid="{00000000-0006-0000-0000-000004000000}">
      <text>
        <r>
          <rPr>
            <sz val="10"/>
            <color rgb="FF000000"/>
            <rFont val="Arial"/>
            <family val="2"/>
          </rPr>
          <t>모듈단위 분류</t>
        </r>
      </text>
    </comment>
    <comment ref="E1" authorId="0" shapeId="0" xr:uid="{00000000-0006-0000-0000-000005000000}">
      <text>
        <r>
          <rPr>
            <sz val="10"/>
            <color rgb="FF000000"/>
            <rFont val="Arial"/>
            <family val="2"/>
          </rPr>
          <t>사용자가 케이스의 내용을 빠르게 파악할 수 있도록 요약함</t>
        </r>
      </text>
    </comment>
    <comment ref="F1" authorId="0" shapeId="0" xr:uid="{00000000-0006-0000-0000-000006000000}">
      <text>
        <r>
          <rPr>
            <sz val="10"/>
            <color rgb="FF000000"/>
            <rFont val="돋움"/>
            <family val="3"/>
            <charset val="129"/>
          </rPr>
          <t>실행방법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실행전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충족되야하는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조건</t>
        </r>
      </text>
    </comment>
    <comment ref="G1" authorId="0" shapeId="0" xr:uid="{00000000-0006-0000-0000-000007000000}">
      <text>
        <r>
          <rPr>
            <sz val="10"/>
            <color rgb="FF000000"/>
            <rFont val="Arial"/>
            <family val="2"/>
          </rPr>
          <t>해당 케이스의 직접적인 실행 순서를 작성</t>
        </r>
      </text>
    </comment>
    <comment ref="H1" authorId="0" shapeId="0" xr:uid="{00000000-0006-0000-0000-000008000000}">
      <text>
        <r>
          <rPr>
            <sz val="10"/>
            <color rgb="FF000000"/>
            <rFont val="Arial"/>
            <family val="2"/>
          </rPr>
          <t>실행 순서에 대해 기대되는 결과를 입력</t>
        </r>
      </text>
    </comment>
    <comment ref="J1" authorId="0" shapeId="0" xr:uid="{00000000-0006-0000-0000-000009000000}">
      <text>
        <r>
          <rPr>
            <sz val="10"/>
            <color rgb="FF000000"/>
            <rFont val="Arial"/>
            <family val="2"/>
          </rPr>
          <t>실제로 실행 순서를 실행한 결과를 입력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<sst xmlns="http://schemas.openxmlformats.org/spreadsheetml/2006/main" count="1578" uniqueCount="315">
  <si>
    <t>No</t>
  </si>
  <si>
    <t>대분류</t>
  </si>
  <si>
    <t>중분류</t>
  </si>
  <si>
    <t>소분류</t>
  </si>
  <si>
    <t>테스트 시나리오</t>
  </si>
  <si>
    <t>실행 순서</t>
  </si>
  <si>
    <t>Pass Result</t>
  </si>
  <si>
    <t>P/F</t>
  </si>
  <si>
    <t>실제 결과</t>
  </si>
  <si>
    <t>비고</t>
  </si>
  <si>
    <t>Tag</t>
  </si>
  <si>
    <t>게임실행</t>
  </si>
  <si>
    <t>실행</t>
  </si>
  <si>
    <t>Pass</t>
  </si>
  <si>
    <t>윈도우기능</t>
  </si>
  <si>
    <t>제목/아이콘 표시</t>
  </si>
  <si>
    <t>Fail</t>
  </si>
  <si>
    <t>Block</t>
  </si>
  <si>
    <t>N/A</t>
  </si>
  <si>
    <t>게임중 윈도우를 최소화 후 복귀한다</t>
  </si>
  <si>
    <t>N/T</t>
  </si>
  <si>
    <t>닫기</t>
  </si>
  <si>
    <t>윈도우를 닫는다</t>
  </si>
  <si>
    <t>메뉴기능</t>
  </si>
  <si>
    <t>인게임기능</t>
  </si>
  <si>
    <t>분류</t>
  </si>
  <si>
    <t>개수</t>
  </si>
  <si>
    <t>비율</t>
  </si>
  <si>
    <t>Total</t>
  </si>
  <si>
    <t>Total(%)</t>
  </si>
  <si>
    <t>테스트케이스 현황</t>
    <phoneticPr fontId="5" type="noConversion"/>
  </si>
  <si>
    <t>게임실행</t>
    <phoneticPr fontId="5" type="noConversion"/>
  </si>
  <si>
    <t>상점 시스템</t>
    <phoneticPr fontId="5" type="noConversion"/>
  </si>
  <si>
    <t>게임 기능</t>
    <phoneticPr fontId="5" type="noConversion"/>
  </si>
  <si>
    <t>상점에서 아이템 구매 확인창이 뜨는지 확인한다</t>
    <phoneticPr fontId="5" type="noConversion"/>
  </si>
  <si>
    <t>아이템 구매 확인창에서 "네"를 선택한다</t>
    <phoneticPr fontId="5" type="noConversion"/>
  </si>
  <si>
    <t>아이템 구매 확인창에서 "아니오"를  선택한다</t>
    <phoneticPr fontId="5" type="noConversion"/>
  </si>
  <si>
    <t>1. 아이템이 구매되지 않는다
2. 아이템 구매 확인창이 닫히고 상점 UI로 돌아간다</t>
    <phoneticPr fontId="5" type="noConversion"/>
  </si>
  <si>
    <t>플레이어의 이동이 제한된다</t>
    <phoneticPr fontId="5" type="noConversion"/>
  </si>
  <si>
    <t>플레이어의 이동 제한이 해제된다</t>
    <phoneticPr fontId="5" type="noConversion"/>
  </si>
  <si>
    <t>아이템 구매 시 재화가 차감된다</t>
    <phoneticPr fontId="5" type="noConversion"/>
  </si>
  <si>
    <t>아이템의 가격에 따라 해당 가격만큼 재화가 차감된다</t>
    <phoneticPr fontId="5" type="noConversion"/>
  </si>
  <si>
    <t>1. 아이템이 구매된다
2. 아이템 구매 확인창이 닫히고 상점 UI로 돌아간다</t>
    <phoneticPr fontId="5" type="noConversion"/>
  </si>
  <si>
    <t>아이템 구매 후 인벤토리에 아이템이 추가된다</t>
    <phoneticPr fontId="5" type="noConversion"/>
  </si>
  <si>
    <t>인벤토리 시스템</t>
    <phoneticPr fontId="5" type="noConversion"/>
  </si>
  <si>
    <t>인벤토리 창을 활성화 한다</t>
    <phoneticPr fontId="5" type="noConversion"/>
  </si>
  <si>
    <t>구매한 아이템이 인벤토리에 추가된다</t>
    <phoneticPr fontId="5" type="noConversion"/>
  </si>
  <si>
    <t>일반 NPC에게 아이템을 사용 후 해당 아이템이 인벤토리 창에서 차감되는지 확인한다</t>
    <phoneticPr fontId="5" type="noConversion"/>
  </si>
  <si>
    <t>플레이어의 모든 이동이 활성화 되어 있다</t>
    <phoneticPr fontId="5" type="noConversion"/>
  </si>
  <si>
    <t>아이템 사용 후 인벤토리에서 해당 아이템이 차감된다</t>
    <phoneticPr fontId="5" type="noConversion"/>
  </si>
  <si>
    <t>호감도 시스템</t>
    <phoneticPr fontId="5" type="noConversion"/>
  </si>
  <si>
    <t>멀티 시스템</t>
    <phoneticPr fontId="5" type="noConversion"/>
  </si>
  <si>
    <t>게임 시작 버튼을 누른다</t>
    <phoneticPr fontId="5" type="noConversion"/>
  </si>
  <si>
    <t>설정 버튼을 누른다</t>
    <phoneticPr fontId="5" type="noConversion"/>
  </si>
  <si>
    <t>게임 종료 버튼을 누른다</t>
    <phoneticPr fontId="5" type="noConversion"/>
  </si>
  <si>
    <t>1. 게임 종료 버튼을 클릭</t>
    <phoneticPr fontId="5" type="noConversion"/>
  </si>
  <si>
    <t>게임이 종료된다</t>
    <phoneticPr fontId="5" type="noConversion"/>
  </si>
  <si>
    <t>소리</t>
    <phoneticPr fontId="5" type="noConversion"/>
  </si>
  <si>
    <t>사운드 볼륨을 조절한다</t>
    <phoneticPr fontId="5" type="noConversion"/>
  </si>
  <si>
    <t>볼룸이 커지거나 작아진다</t>
    <phoneticPr fontId="5" type="noConversion"/>
  </si>
  <si>
    <t>설정 UI가 닫힌다</t>
    <phoneticPr fontId="5" type="noConversion"/>
  </si>
  <si>
    <t>볼륨을 올린다</t>
    <phoneticPr fontId="5" type="noConversion"/>
  </si>
  <si>
    <t>볼륨이 커진다</t>
    <phoneticPr fontId="5" type="noConversion"/>
  </si>
  <si>
    <t>볼륨이 작아진다</t>
    <phoneticPr fontId="5" type="noConversion"/>
  </si>
  <si>
    <t>플레이어 이름을 입력한다</t>
    <phoneticPr fontId="5" type="noConversion"/>
  </si>
  <si>
    <t>방 이름을 입력한다</t>
    <phoneticPr fontId="5" type="noConversion"/>
  </si>
  <si>
    <t>플레이어 이름이 입력된다</t>
    <phoneticPr fontId="5" type="noConversion"/>
  </si>
  <si>
    <t>방 이름이 입력된다</t>
    <phoneticPr fontId="5" type="noConversion"/>
  </si>
  <si>
    <t>방을 생성한다</t>
    <phoneticPr fontId="5" type="noConversion"/>
  </si>
  <si>
    <t>생성된 방에 참가한다</t>
    <phoneticPr fontId="5" type="noConversion"/>
  </si>
  <si>
    <t>게임을 시작한다</t>
    <phoneticPr fontId="5" type="noConversion"/>
  </si>
  <si>
    <t>플레이어 이름을 입력하지 않고 방을 생성 / 참가 한다</t>
    <phoneticPr fontId="5" type="noConversion"/>
  </si>
  <si>
    <t>방 이름을 입력하지 않고 방을 생성 / 참가 한다</t>
    <phoneticPr fontId="5" type="noConversion"/>
  </si>
  <si>
    <t>생성된 방에 참가되고 해당 방의 플레이어 리스트가 표시된다</t>
    <phoneticPr fontId="5" type="noConversion"/>
  </si>
  <si>
    <t>방 이름에 맞게 방이 생성되고 해당 방의 플레이어 리스트가 표시된다</t>
    <phoneticPr fontId="5" type="noConversion"/>
  </si>
  <si>
    <t>해당 방에 참가한 플레이어들이 GameScene으로 진입한다</t>
    <phoneticPr fontId="5" type="noConversion"/>
  </si>
  <si>
    <t>플레이어 이름이  랜덤으로 설정되고 방이 생성된다</t>
    <phoneticPr fontId="5" type="noConversion"/>
  </si>
  <si>
    <t>방이 생성되지 않는다</t>
    <phoneticPr fontId="5" type="noConversion"/>
  </si>
  <si>
    <t>PASS</t>
    <phoneticPr fontId="5" type="noConversion"/>
  </si>
  <si>
    <t>Fail</t>
    <phoneticPr fontId="5" type="noConversion"/>
  </si>
  <si>
    <t>MainScene, GameScene에서 실행</t>
    <phoneticPr fontId="5" type="noConversion"/>
  </si>
  <si>
    <t>모든 텍스트에서 한글 폰트가 정상적으로 나오는지
확인한다</t>
    <phoneticPr fontId="5" type="noConversion"/>
  </si>
  <si>
    <t>폰트가 모두 정상적으로 출력된다</t>
    <phoneticPr fontId="5" type="noConversion"/>
  </si>
  <si>
    <t>플레이어 이동 관련</t>
    <phoneticPr fontId="5" type="noConversion"/>
  </si>
  <si>
    <t>게임 종료</t>
    <phoneticPr fontId="5" type="noConversion"/>
  </si>
  <si>
    <t>게임메뉴</t>
    <phoneticPr fontId="5" type="noConversion"/>
  </si>
  <si>
    <t>UI</t>
    <phoneticPr fontId="5" type="noConversion"/>
  </si>
  <si>
    <t>호감도가 0으로 표시된다</t>
    <phoneticPr fontId="5" type="noConversion"/>
  </si>
  <si>
    <t>두 Scene에서 동일한 값의 사운드가 출력된다</t>
    <phoneticPr fontId="5" type="noConversion"/>
  </si>
  <si>
    <t>로비 화면으로 돌아온다</t>
    <phoneticPr fontId="5" type="noConversion"/>
  </si>
  <si>
    <t>호감도가 증감하지 않는다</t>
    <phoneticPr fontId="5" type="noConversion"/>
  </si>
  <si>
    <t>아이템이 제거되고 호감도가 증가, 감사 전용 대화창이 출력된다</t>
    <phoneticPr fontId="5" type="noConversion"/>
  </si>
  <si>
    <t>아이템이 제거 및 호감도 증가 X, 거절 전용 대화창이 출력된다</t>
    <phoneticPr fontId="5" type="noConversion"/>
  </si>
  <si>
    <t>로비 화면</t>
    <phoneticPr fontId="5" type="noConversion"/>
  </si>
  <si>
    <t>설정</t>
    <phoneticPr fontId="5" type="noConversion"/>
  </si>
  <si>
    <t>게임 결과 화면이 정상적으로 출력되는지 확인한다</t>
    <phoneticPr fontId="5" type="noConversion"/>
  </si>
  <si>
    <t>게임 결과 화면이 정상적으로 출력된다</t>
    <phoneticPr fontId="5" type="noConversion"/>
  </si>
  <si>
    <t>타이머가 끝나면 게임이 종료되고 로비 화면으로 돌아간다</t>
    <phoneticPr fontId="5" type="noConversion"/>
  </si>
  <si>
    <t>로비로 돌아간 후 다시 게임을 시작한다</t>
    <phoneticPr fontId="5" type="noConversion"/>
  </si>
  <si>
    <t>정상적으로 방이 생성/입장되고 게임이 시작된다</t>
    <phoneticPr fontId="5" type="noConversion"/>
  </si>
  <si>
    <t>타이머</t>
    <phoneticPr fontId="5" type="noConversion"/>
  </si>
  <si>
    <t>타이머 UI</t>
    <phoneticPr fontId="5" type="noConversion"/>
  </si>
  <si>
    <t>타이머가 정상적으로 화면에 출력되는지 확인한다</t>
    <phoneticPr fontId="5" type="noConversion"/>
  </si>
  <si>
    <t>타이머가 정상적으로 출력된다</t>
    <phoneticPr fontId="5" type="noConversion"/>
  </si>
  <si>
    <t>타이머의 시간이 정상적으로 줄어드는지 확인한다</t>
    <phoneticPr fontId="5" type="noConversion"/>
  </si>
  <si>
    <t>타이머의 시간이 1초씩 정상적으로 줄어든다</t>
    <phoneticPr fontId="5" type="noConversion"/>
  </si>
  <si>
    <t>호감도가 일정수치에 도달하면 해당 플레이어에게 귀속된다</t>
    <phoneticPr fontId="5" type="noConversion"/>
  </si>
  <si>
    <t>호감도가 일정 수치에 도달하면 플레이어에게 귀속된다</t>
    <phoneticPr fontId="5" type="noConversion"/>
  </si>
  <si>
    <t>History</t>
    <phoneticPr fontId="9" type="noConversion"/>
  </si>
  <si>
    <t>Confirm date</t>
    <phoneticPr fontId="9" type="noConversion"/>
  </si>
  <si>
    <t>Writer</t>
    <phoneticPr fontId="9" type="noConversion"/>
  </si>
  <si>
    <t>한재원</t>
    <phoneticPr fontId="9" type="noConversion"/>
  </si>
  <si>
    <t>Importance</t>
    <phoneticPr fontId="9" type="noConversion"/>
  </si>
  <si>
    <t>Mid</t>
  </si>
  <si>
    <t>Device</t>
    <phoneticPr fontId="9" type="noConversion"/>
  </si>
  <si>
    <t>PC(Engine)</t>
  </si>
  <si>
    <t>Detail</t>
    <phoneticPr fontId="9" type="noConversion"/>
  </si>
  <si>
    <t>Comment</t>
    <phoneticPr fontId="9" type="noConversion"/>
  </si>
  <si>
    <t>Screen shot</t>
    <phoneticPr fontId="9" type="noConversion"/>
  </si>
  <si>
    <t>P/F</t>
    <phoneticPr fontId="9" type="noConversion"/>
  </si>
  <si>
    <t>Issue</t>
    <phoneticPr fontId="9" type="noConversion"/>
  </si>
  <si>
    <t>최소화</t>
    <phoneticPr fontId="5" type="noConversion"/>
  </si>
  <si>
    <t>앞으로 가진다</t>
    <phoneticPr fontId="5" type="noConversion"/>
  </si>
  <si>
    <t>Pass</t>
    <phoneticPr fontId="5" type="noConversion"/>
  </si>
  <si>
    <t>뒤로 가진다</t>
    <phoneticPr fontId="5" type="noConversion"/>
  </si>
  <si>
    <t>왼쪽으로 가진다</t>
    <phoneticPr fontId="5" type="noConversion"/>
  </si>
  <si>
    <t>오른쪽으로 가진다</t>
    <phoneticPr fontId="5" type="noConversion"/>
  </si>
  <si>
    <t>점프가 된다</t>
    <phoneticPr fontId="5" type="noConversion"/>
  </si>
  <si>
    <t>이동 속도가 빨라진다</t>
    <phoneticPr fontId="5" type="noConversion"/>
  </si>
  <si>
    <t>각 NPC의 이름이 NPC 오브젝트 상단에 표시된다</t>
    <phoneticPr fontId="5" type="noConversion"/>
  </si>
  <si>
    <t>각 NPC의 이름이 정상적으로 화면에 표시된다</t>
    <phoneticPr fontId="5" type="noConversion"/>
  </si>
  <si>
    <t>기타</t>
    <phoneticPr fontId="5" type="noConversion"/>
  </si>
  <si>
    <t>맵 관련</t>
    <phoneticPr fontId="5" type="noConversion"/>
  </si>
  <si>
    <t>맵이 정상적으로 화면에 보이는지 확인한다</t>
    <phoneticPr fontId="5" type="noConversion"/>
  </si>
  <si>
    <t>모든 맵이 정상적으로 화면에 표시된다</t>
    <phoneticPr fontId="5" type="noConversion"/>
  </si>
  <si>
    <t>맵 내에 뚫리는 곳이 있는지 확인한다</t>
    <phoneticPr fontId="5" type="noConversion"/>
  </si>
  <si>
    <t>맵 내에 뚫리는 장소가 없다</t>
    <phoneticPr fontId="5" type="noConversion"/>
  </si>
  <si>
    <t>특정 수치만큼 호감도가 증가한다</t>
    <phoneticPr fontId="5" type="noConversion"/>
  </si>
  <si>
    <t>특정 수치만큼 호감도가 감소한다</t>
    <phoneticPr fontId="5" type="noConversion"/>
  </si>
  <si>
    <t>NPC와 일반 대화를 한다</t>
    <phoneticPr fontId="5" type="noConversion"/>
  </si>
  <si>
    <t>NPC와 대화가 중복 실행되는지 확인한다</t>
    <phoneticPr fontId="5" type="noConversion"/>
  </si>
  <si>
    <t>대화창 텍스트가 정상적으로 출력되는지 확인한다</t>
    <phoneticPr fontId="5" type="noConversion"/>
  </si>
  <si>
    <t>대화 중 다음 대화로 넘어간다</t>
    <phoneticPr fontId="5" type="noConversion"/>
  </si>
  <si>
    <t>일반 대화창이 출력된다</t>
    <phoneticPr fontId="5" type="noConversion"/>
  </si>
  <si>
    <t>대화 중 반복 실행 되지 않는다</t>
    <phoneticPr fontId="5" type="noConversion"/>
  </si>
  <si>
    <t>대화내용 및  NPC 이름 등 정상적으로 출력된다</t>
    <phoneticPr fontId="5" type="noConversion"/>
  </si>
  <si>
    <t>정상적으로 다음 대화 및 대화 종료가 된다</t>
    <phoneticPr fontId="5" type="noConversion"/>
  </si>
  <si>
    <t>퀘스트 기능</t>
    <phoneticPr fontId="5" type="noConversion"/>
  </si>
  <si>
    <t>퀘스트 전용 대화가 정상적으로 출력되는지 확인한다</t>
    <phoneticPr fontId="5" type="noConversion"/>
  </si>
  <si>
    <t>퀘스트 전용 대화가 정상적으로 출력된다</t>
    <phoneticPr fontId="5" type="noConversion"/>
  </si>
  <si>
    <t>퀘스트가 정상적으로 완료된다</t>
    <phoneticPr fontId="5" type="noConversion"/>
  </si>
  <si>
    <t>퀘스트 대화가 더 이상 출력되지 않는다</t>
    <phoneticPr fontId="5" type="noConversion"/>
  </si>
  <si>
    <t>다른 플레이어는 퀘스트 수락이 불가능하다</t>
    <phoneticPr fontId="5" type="noConversion"/>
  </si>
  <si>
    <t>호감도가 증가하고 NPC가 해당 플레이어에게 귀속된다</t>
    <phoneticPr fontId="5" type="noConversion"/>
  </si>
  <si>
    <t>퀘스트 진행 상황이 표시된다</t>
    <phoneticPr fontId="5" type="noConversion"/>
  </si>
  <si>
    <t>상자 시스템</t>
    <phoneticPr fontId="5" type="noConversion"/>
  </si>
  <si>
    <t>아이템이 정상적으로 획득된다</t>
    <phoneticPr fontId="5" type="noConversion"/>
  </si>
  <si>
    <t>상자가 정상적으로 스폰되어 있다</t>
    <phoneticPr fontId="5" type="noConversion"/>
  </si>
  <si>
    <t>상자에서 랜덤 확률로 아이템이 획득된다</t>
    <phoneticPr fontId="5" type="noConversion"/>
  </si>
  <si>
    <t>인벤토리에 아이템이 추가된다</t>
    <phoneticPr fontId="5" type="noConversion"/>
  </si>
  <si>
    <t>함정 시스템</t>
    <phoneticPr fontId="5" type="noConversion"/>
  </si>
  <si>
    <t>시야 가리기 스킬을 사용한다</t>
    <phoneticPr fontId="5" type="noConversion"/>
  </si>
  <si>
    <t>다른 플레이어의 시야가 제한된다</t>
    <phoneticPr fontId="5" type="noConversion"/>
  </si>
  <si>
    <t>플레이어 뒤에 트랩이 설치되고 밟으면 속도가 감소된다</t>
    <phoneticPr fontId="5" type="noConversion"/>
  </si>
  <si>
    <t>플레이어 뒤에 트랩이 설치되고 밟으면 플레이어가 넘어진다</t>
    <phoneticPr fontId="5" type="noConversion"/>
  </si>
  <si>
    <t>스킬 쿨타임이 정상적으로 적용된다</t>
    <phoneticPr fontId="5" type="noConversion"/>
  </si>
  <si>
    <t>트랩류 스킬의 오브젝트가 화면에 표시된다</t>
    <phoneticPr fontId="5" type="noConversion"/>
  </si>
  <si>
    <t>캐릭터 동기화</t>
    <phoneticPr fontId="5" type="noConversion"/>
  </si>
  <si>
    <t>상태 이상 동기화</t>
    <phoneticPr fontId="5" type="noConversion"/>
  </si>
  <si>
    <t>아이템 동기화</t>
    <phoneticPr fontId="5" type="noConversion"/>
  </si>
  <si>
    <t>애니메이션이 정상적으로 재생된다</t>
    <phoneticPr fontId="5" type="noConversion"/>
  </si>
  <si>
    <t>테스트 조건</t>
    <phoneticPr fontId="5" type="noConversion"/>
  </si>
  <si>
    <t>게임을 실행한다</t>
    <phoneticPr fontId="5" type="noConversion"/>
  </si>
  <si>
    <t>1. "Love Crown.exe" 파일실행</t>
    <phoneticPr fontId="5" type="noConversion"/>
  </si>
  <si>
    <t>Love Crown이 실행된다</t>
    <phoneticPr fontId="5" type="noConversion"/>
  </si>
  <si>
    <t>제목표시줄 내용을 확인한다</t>
    <phoneticPr fontId="5" type="noConversion"/>
  </si>
  <si>
    <t>1. 윈도우 타이틀바 확인</t>
    <phoneticPr fontId="5" type="noConversion"/>
  </si>
  <si>
    <t>(임시) 유니티 아이콘과 Love Crown 제못이 뜬다</t>
    <phoneticPr fontId="5" type="noConversion"/>
  </si>
  <si>
    <t>1. 윈도우 최소화버튼 클릭
2. 윈도우 작업표시줄에서 Love  Crown 클릭</t>
    <phoneticPr fontId="5" type="noConversion"/>
  </si>
  <si>
    <t>게임이 최소화 되었다 복구된다</t>
    <phoneticPr fontId="5" type="noConversion"/>
  </si>
  <si>
    <t>1. 윈도우 닫기버튼 클릭</t>
    <phoneticPr fontId="5" type="noConversion"/>
  </si>
  <si>
    <t>MainScene에서 실행</t>
    <phoneticPr fontId="5" type="noConversion"/>
  </si>
  <si>
    <t>1. 게임  시작 버튼을 클릭</t>
    <phoneticPr fontId="5" type="noConversion"/>
  </si>
  <si>
    <t>방 생성 Scene으로 넘어간다</t>
    <phoneticPr fontId="5" type="noConversion"/>
  </si>
  <si>
    <t>1. 설정 버튼을 클릭</t>
    <phoneticPr fontId="5" type="noConversion"/>
  </si>
  <si>
    <t>설정 UI가 표시된다</t>
    <phoneticPr fontId="5" type="noConversion"/>
  </si>
  <si>
    <t>1. 사운드 불륨을 조절하는 슬라이더를 조절</t>
    <phoneticPr fontId="5" type="noConversion"/>
  </si>
  <si>
    <t>Exit를 누른다</t>
    <phoneticPr fontId="5" type="noConversion"/>
  </si>
  <si>
    <t>1. Exit 버튼을 클릭한다</t>
    <phoneticPr fontId="5" type="noConversion"/>
  </si>
  <si>
    <t>각 Scene 별로 사운드가 동일하게 조절되는지 확인한다</t>
    <phoneticPr fontId="5" type="noConversion"/>
  </si>
  <si>
    <t>BTL 참고</t>
    <phoneticPr fontId="5" type="noConversion"/>
  </si>
  <si>
    <t>MainScene에서 실행 / 설정 UI에서 실행</t>
    <phoneticPr fontId="5" type="noConversion"/>
  </si>
  <si>
    <t>1. 사운드 슬라이더를 왼쪽으로 조절</t>
    <phoneticPr fontId="5" type="noConversion"/>
  </si>
  <si>
    <t>볼륨을 내린다</t>
    <phoneticPr fontId="5" type="noConversion"/>
  </si>
  <si>
    <t>1. 사운드 슬라이더를 오른쪽으로 조절</t>
    <phoneticPr fontId="5" type="noConversion"/>
  </si>
  <si>
    <t>상점 NPC와 대화한다</t>
    <phoneticPr fontId="5" type="noConversion"/>
  </si>
  <si>
    <t>GameScene에서  실행</t>
    <phoneticPr fontId="5" type="noConversion"/>
  </si>
  <si>
    <t>1. 상점 NPC의 앞에서 "E"키를 눌러 상점 NPC와 대화</t>
    <phoneticPr fontId="5" type="noConversion"/>
  </si>
  <si>
    <t>상점  UI  및 아이템 리스트가 화면에 출럭된다</t>
    <phoneticPr fontId="5" type="noConversion"/>
  </si>
  <si>
    <t>상점 UI가 닫히는지 확인한다</t>
    <phoneticPr fontId="5" type="noConversion"/>
  </si>
  <si>
    <t>1. 상점 UI가 화면에 출력되는 상태에서 Escape키 입력</t>
    <phoneticPr fontId="5" type="noConversion"/>
  </si>
  <si>
    <t>상점 UI가 닫히고 기존 화면으로 돌아간다</t>
    <phoneticPr fontId="5" type="noConversion"/>
  </si>
  <si>
    <t>상점 UI가 표시되는 동안 플레이어 이동이 제한된다</t>
    <phoneticPr fontId="5" type="noConversion"/>
  </si>
  <si>
    <t>1. 상점 UI가 출력된 상태에서 플레이어가 이동을 시도</t>
    <phoneticPr fontId="5" type="noConversion"/>
  </si>
  <si>
    <t>상점 UI를 닫은 후 플레이어 이동 제한이 해제된다</t>
    <phoneticPr fontId="5" type="noConversion"/>
  </si>
  <si>
    <t>1. 상점의 아이템 리스트에서 아이템 클릭</t>
    <phoneticPr fontId="5" type="noConversion"/>
  </si>
  <si>
    <t xml:space="preserve"> "{아이템이름} 을 구매하시겠습니까?" 텍스트와 "네 / 아니오" 버튼이 화면에 출력된다</t>
    <phoneticPr fontId="5" type="noConversion"/>
  </si>
  <si>
    <t>1. 상점 아이템 구매 확인창에서 "네" 버튼 클릭</t>
    <phoneticPr fontId="5" type="noConversion"/>
  </si>
  <si>
    <t>1. 상점 아이템 구매 확인창에서 "아니오" 버튼 클릭</t>
    <phoneticPr fontId="5" type="noConversion"/>
  </si>
  <si>
    <t>1. B키를 눌러 인벤토리 창을 활성화</t>
    <phoneticPr fontId="5" type="noConversion"/>
  </si>
  <si>
    <t>인벤토리 UI가 출력된다</t>
    <phoneticPr fontId="5" type="noConversion"/>
  </si>
  <si>
    <t>인벤토리 창을 비활성화 한다</t>
    <phoneticPr fontId="5" type="noConversion"/>
  </si>
  <si>
    <t>1. 인벤토리 UI가 출력된 상태에서 Escape키 입력</t>
    <phoneticPr fontId="5" type="noConversion"/>
  </si>
  <si>
    <t>인벤토리 UI가 비활성화 된다</t>
    <phoneticPr fontId="5" type="noConversion"/>
  </si>
  <si>
    <t>인벤토리 UI가 출력되는 중 플레이어가 이동가능 여부를 확인한다</t>
    <phoneticPr fontId="5" type="noConversion"/>
  </si>
  <si>
    <t>1. 인벤토리 UI가 출력된 상태에서 플레이어가 이동을 시도</t>
    <phoneticPr fontId="5" type="noConversion"/>
  </si>
  <si>
    <t>1. 상점에서 아이템을 구매
2. 인벤토리를 열어 구매한 아이템이 인벤토리에 추가 여부를 확인</t>
    <phoneticPr fontId="5" type="noConversion"/>
  </si>
  <si>
    <t>각 NPC와 처음 대화 시작 시 호감도가 0으로 표시된다</t>
    <phoneticPr fontId="5" type="noConversion"/>
  </si>
  <si>
    <t>각 NPC와 대화 중 호감도가 증가하는 선택지를 클릭한다</t>
    <phoneticPr fontId="5" type="noConversion"/>
  </si>
  <si>
    <t>각 NPC와 대화 중 호감도가 감소하는 선택지를 클릭한다</t>
    <phoneticPr fontId="5" type="noConversion"/>
  </si>
  <si>
    <t>각 NPC와 대화 중 호감도가 불변하는 선택지를 클릭한다</t>
    <phoneticPr fontId="5" type="noConversion"/>
  </si>
  <si>
    <t>각 NPC에게 할당되지 않은 호감도 아이템을 선물한다</t>
    <phoneticPr fontId="5" type="noConversion"/>
  </si>
  <si>
    <t>1. 상점에서 호감도 아이템을 구매
2. 아이템에 맞지 않는 NPC와 대화</t>
    <phoneticPr fontId="5" type="noConversion"/>
  </si>
  <si>
    <t>각 NPC에게 할당된 호감도 아이템을 선물한다</t>
    <phoneticPr fontId="5" type="noConversion"/>
  </si>
  <si>
    <t>1. NPC와 대화 및 아이템을 사용해 호감도를 올린다</t>
    <phoneticPr fontId="5" type="noConversion"/>
  </si>
  <si>
    <t>LobbyScene에서 실행</t>
    <phoneticPr fontId="5" type="noConversion"/>
  </si>
  <si>
    <t>1. Player Name 칸에 숫자 혹은 문자를 입력</t>
    <phoneticPr fontId="5" type="noConversion"/>
  </si>
  <si>
    <t>1. Room Name 칸에 숫자 혹은 문자를 입력</t>
    <phoneticPr fontId="5" type="noConversion"/>
  </si>
  <si>
    <t>1. 플레이어 이름 및 방 이름을 입력
2. Join Room을 클릭</t>
    <phoneticPr fontId="5" type="noConversion"/>
  </si>
  <si>
    <t>NPC 대화</t>
    <phoneticPr fontId="5" type="noConversion"/>
  </si>
  <si>
    <t>1. 선물/퀘스트 등 다른 상호작용 조건이 없는 상태
2. NPC에게 'E' 키로 상호작용</t>
    <phoneticPr fontId="5" type="noConversion"/>
  </si>
  <si>
    <t>1. NPC와 대화가 진행 중일 때
2. 'E' 키를 반복적으로 입력</t>
    <phoneticPr fontId="5" type="noConversion"/>
  </si>
  <si>
    <t>1. NPC와 대화 시작
2. Start Dialogue에 설정된 Sentence가 표시되는지 확인</t>
    <phoneticPr fontId="5" type="noConversion"/>
  </si>
  <si>
    <t>1. 선택지가 없는 대화에서 스페이스바 입력
2. 선택지가 있는 대화에서 선택지 버튼 클릭</t>
    <phoneticPr fontId="5" type="noConversion"/>
  </si>
  <si>
    <t>W(앞으로가기) 를 누른다</t>
    <phoneticPr fontId="5" type="noConversion"/>
  </si>
  <si>
    <t>1. 게임을 진행
2.  W키를 입력</t>
    <phoneticPr fontId="5" type="noConversion"/>
  </si>
  <si>
    <t>S(뒤로가기) 를 누른다</t>
    <phoneticPr fontId="5" type="noConversion"/>
  </si>
  <si>
    <t>1. 게임을 진행
2.  S키를 입력</t>
    <phoneticPr fontId="5" type="noConversion"/>
  </si>
  <si>
    <t>A(왼쪽으로가기) 를 누른다</t>
    <phoneticPr fontId="5" type="noConversion"/>
  </si>
  <si>
    <t>1. 게임을 진행
2.  A키를 입력</t>
    <phoneticPr fontId="5" type="noConversion"/>
  </si>
  <si>
    <t>D(오른쪽으로가기) 를 누른다</t>
    <phoneticPr fontId="5" type="noConversion"/>
  </si>
  <si>
    <t>1. 게임을 진행
2.  D키를 입력</t>
    <phoneticPr fontId="5" type="noConversion"/>
  </si>
  <si>
    <t>스페이스바(점프) 를 누른다</t>
    <phoneticPr fontId="5" type="noConversion"/>
  </si>
  <si>
    <t>1. 게임을 진행
2.  스페이스바 키를 입력</t>
    <phoneticPr fontId="5" type="noConversion"/>
  </si>
  <si>
    <t>W를 누르는 중 Shift(달리기) 를 누른다</t>
    <phoneticPr fontId="5" type="noConversion"/>
  </si>
  <si>
    <t>1. 게임을 진행
2.  W키 입력중 Shift키를 입력</t>
    <phoneticPr fontId="5" type="noConversion"/>
  </si>
  <si>
    <t>1. 게임을 실행
2. 각 NPC에게 대화를 시도</t>
    <phoneticPr fontId="5" type="noConversion"/>
  </si>
  <si>
    <t>퀘스트가 정상적으로 완료됬는지 확인한다</t>
    <phoneticPr fontId="5" type="noConversion"/>
  </si>
  <si>
    <t>1. 게임을 진행
2. 각 NPC에게 퀘스트 받기
3. 퀘스트를 완료</t>
    <phoneticPr fontId="5" type="noConversion"/>
  </si>
  <si>
    <t>퀘스트 완료 후 퀘스트 대화가 다시 출력되는지 확인한다</t>
    <phoneticPr fontId="5" type="noConversion"/>
  </si>
  <si>
    <t>1. 게임을 진행
2. 각 NPC에게 퀘스트 받기
3. 퀘스트를 완료
4. 다시 대화를 시도</t>
    <phoneticPr fontId="5" type="noConversion"/>
  </si>
  <si>
    <t>한 플레이어가 퀘스트 완료 시 다른 플레이어가 퀘스트를 받을 수 있는지 확인한다</t>
    <phoneticPr fontId="5" type="noConversion"/>
  </si>
  <si>
    <t>1. 게임을 진행
2. 각 NPC에게 퀘스트 받기
3. 퀘스트를 완료
4. 다른 플레이어가 해당 NPC와 대화를 시도</t>
    <phoneticPr fontId="5" type="noConversion"/>
  </si>
  <si>
    <t>퀘스트 보상이 정상적으로 지급되는지 확인한다</t>
    <phoneticPr fontId="5" type="noConversion"/>
  </si>
  <si>
    <t>1. 게임을 진행
2. 각 NPC에게 퀘스트 받기
3. 퀘스트를 완료
4. NPC의 호감도 혹은 본인에게 해당 NPC가 귀속 여부를 확인</t>
    <phoneticPr fontId="5" type="noConversion"/>
  </si>
  <si>
    <t>퀘스트 수락 후 퀘스트 로그에 진행상황이 표시된다</t>
    <phoneticPr fontId="5" type="noConversion"/>
  </si>
  <si>
    <t>1. 게임을 진행
2. 각 NPC에게 퀘스트 받기
3. 퀘스트를 완료
4. ' J '를 입력</t>
    <phoneticPr fontId="5" type="noConversion"/>
  </si>
  <si>
    <t>상자에서 아이템을 획득한다</t>
    <phoneticPr fontId="5" type="noConversion"/>
  </si>
  <si>
    <t>1. 게임을 진행
2. 상자에 다가가 ' E '키를 입력</t>
    <phoneticPr fontId="5" type="noConversion"/>
  </si>
  <si>
    <t>상자가 정상적으로 스폰된다</t>
    <phoneticPr fontId="5" type="noConversion"/>
  </si>
  <si>
    <t>1. 게임을 진행
2. 상자가 있는 위치를 확인</t>
    <phoneticPr fontId="5" type="noConversion"/>
  </si>
  <si>
    <t>상자에서 아이템이 랜덤 확률로 획득된다</t>
    <phoneticPr fontId="5" type="noConversion"/>
  </si>
  <si>
    <t>1. 게임을 진행
2. 상자에 다가가 ' E '키를 입력
3. 여러 번 시도</t>
    <phoneticPr fontId="5" type="noConversion"/>
  </si>
  <si>
    <t>아이템 획득 후 인벤토리에 아이템이 추가된다</t>
    <phoneticPr fontId="5" type="noConversion"/>
  </si>
  <si>
    <t>1. 게임을 진행
2. 상자에 다가가 ' E '키를 일벽
3. ' B ' 키를 입력</t>
    <phoneticPr fontId="5" type="noConversion"/>
  </si>
  <si>
    <t>1. 멀티로 게임을 진행
2. 숫자 키 ' 1 '을 입력</t>
    <phoneticPr fontId="5" type="noConversion"/>
  </si>
  <si>
    <t>이동 속도 감소 스킬을 사용한다</t>
    <phoneticPr fontId="5" type="noConversion"/>
  </si>
  <si>
    <t>1. 멀티로 게임을 진행
2. 숫자 키 ' 2 '를 입력</t>
    <phoneticPr fontId="5" type="noConversion"/>
  </si>
  <si>
    <t>넘어뜨리기 스킬을 사용한다</t>
    <phoneticPr fontId="5" type="noConversion"/>
  </si>
  <si>
    <t>1. 멀티로 게임을 진행
2. 숫자 키 ' 3 ' 을 입력</t>
    <phoneticPr fontId="5" type="noConversion"/>
  </si>
  <si>
    <t>스킬의 쿨타임이 적용되는지 확인한다</t>
    <phoneticPr fontId="5" type="noConversion"/>
  </si>
  <si>
    <t>1. 멀티로 게임을 진행
2. 스킬을 하나씩 사용
3. 직후 다시 스킬을 사용</t>
    <phoneticPr fontId="5" type="noConversion"/>
  </si>
  <si>
    <t>트랩류 스킬을 사용했을 때 오브젝트가 확실히 보이는지 확인한다</t>
    <phoneticPr fontId="5" type="noConversion"/>
  </si>
  <si>
    <t>1. 멀티로 게임을 진행
2. 트랩류 스킬을 사용
3. 뒤를 돌아 오브젝트를 확인</t>
    <phoneticPr fontId="5" type="noConversion"/>
  </si>
  <si>
    <t>인게임 UI</t>
    <phoneticPr fontId="5" type="noConversion"/>
  </si>
  <si>
    <t>1. 게임을 진행
2. NPC의 근처로 가기
3. NPC의 이름이 정상적으로 출력되는지 확인</t>
    <phoneticPr fontId="5" type="noConversion"/>
  </si>
  <si>
    <t>게임 결과 화면 UI</t>
    <phoneticPr fontId="5" type="noConversion"/>
  </si>
  <si>
    <t>1. 게임을 진행
2. 타이머가 끝나고 게임 결과 화면 출력</t>
    <phoneticPr fontId="5" type="noConversion"/>
  </si>
  <si>
    <t>1. 게임을 시작
2.  배치된 맵들이 정상적으로 보이는지 확인</t>
    <phoneticPr fontId="5" type="noConversion"/>
  </si>
  <si>
    <t>다른 플레이어가 움직일 때 끊김 없이 부드럽게 보이는가?</t>
    <phoneticPr fontId="5" type="noConversion"/>
  </si>
  <si>
    <t>1. Player A와 B가 같은 방에 입장
2. Player A가 맵을 활발하게 돌아다니며 시점을 회전</t>
    <phoneticPr fontId="5" type="noConversion"/>
  </si>
  <si>
    <t>Player A의 위치 이동이 끊김 없이 부드럽게 보인다</t>
    <phoneticPr fontId="5" type="noConversion"/>
  </si>
  <si>
    <t>다른 플레이어의 애니메이션(걷기, 뛰기, 공격, 넘어짐 등)이 내 화면에서도 동일하게 재생되는가?</t>
    <phoneticPr fontId="5" type="noConversion"/>
  </si>
  <si>
    <t>1. Player A가 걷기, 달리기, 공격 행동을 수행</t>
    <phoneticPr fontId="5" type="noConversion"/>
  </si>
  <si>
    <t>애니메이션 속도가 정상적으로 보인다</t>
    <phoneticPr fontId="5" type="noConversion"/>
  </si>
  <si>
    <t>A 플레이어가 함정에 걸려 넘어졌을 때, B 플레이어 화면에서도 A가 넘어진 상태로 보이는가?</t>
    <phoneticPr fontId="5" type="noConversion"/>
  </si>
  <si>
    <t>A 플레이어가 눈 가리기 스킬을 당했을 때, 실제로 A 플레이어의 화면이 가려지는가?</t>
    <phoneticPr fontId="5" type="noConversion"/>
  </si>
  <si>
    <t>맵에 생성된 함정이 모든 플레이어에게 동일한 위치에 보이는가?</t>
    <phoneticPr fontId="5" type="noConversion"/>
  </si>
  <si>
    <t>1. Player A가 넘어짐 함정 스킬을 설치
2. Player B가 해당 함정을 밟음</t>
    <phoneticPr fontId="5" type="noConversion"/>
  </si>
  <si>
    <t>1. Player A가 Player B에게 눈 가리기 스킬 사용
2. Player B의 화면 확인
3. Player A의 화면(UI 쿨타임) 확인</t>
    <phoneticPr fontId="5" type="noConversion"/>
  </si>
  <si>
    <t>Player B 화면에 안대 UI가 나타나 시야를 가린다
Player A 화면에서는 스킬 쿨타임이 정상적으로 돌아간다</t>
    <phoneticPr fontId="5" type="noConversion"/>
  </si>
  <si>
    <t>1. Player A가 2번(바나나), 3번(진흙) 함정을 각각 설치
2. Player B가 해당 위치로 이동하여 확인</t>
    <phoneticPr fontId="5" type="noConversion"/>
  </si>
  <si>
    <t>Player A가 설치한 위치와 동일한 곳에 함정 오브젝트가 보인다</t>
    <phoneticPr fontId="5" type="noConversion"/>
  </si>
  <si>
    <t>1. 게임을 진행
2. 맵을 돌아다니기
3. 맵의 모든 구석, 사물 등 뚫리는지 확인</t>
    <phoneticPr fontId="5" type="noConversion"/>
  </si>
  <si>
    <t>1. 방을 생성하고 게임을 시작
2. 인게임 화면에서 우측 상단에 타이머가 표시되는지 확인</t>
    <phoneticPr fontId="5" type="noConversion"/>
  </si>
  <si>
    <t>1. NPC와 대화를 시도
2. 대화 / 선택지 / 재화 / 호감도 / 아이템 구매 확인창의 한글 텍스트가 정상적으로 출력되는지 확인</t>
    <phoneticPr fontId="5" type="noConversion"/>
  </si>
  <si>
    <t>1. 게임 종료 후 로비로 돌아가기 클릭
2. 로비로 돌아온 후 방 생성 및 입장
3. 게임 시작 버튼 클릭</t>
    <phoneticPr fontId="5" type="noConversion"/>
  </si>
  <si>
    <t>1. 게임을 진행
2. 타이머가 종료된 후 게임 결과 화면이 출력
3. 로비로 돌아가기 버튼을 클릭</t>
    <phoneticPr fontId="5" type="noConversion"/>
  </si>
  <si>
    <t>1. 방을 생성 후 게임을 진행
2. 타이머가 1초씩 줄어드는지 확인</t>
    <phoneticPr fontId="5" type="noConversion"/>
  </si>
  <si>
    <t>1. 플레이어 A가 이름 및 방 이름을 입력
2. Create Room을 클릭
3. 플레이어 B가 이름 및 방 이름을 입력
4. Join Room을 클릭
5. 플레이어 A가 Game Start를 클릭</t>
    <phoneticPr fontId="5" type="noConversion"/>
  </si>
  <si>
    <t>1. 플레이어 이름 칸을 비워두고 방 이름만 입력
2. 해당 방을 생성 / 참가</t>
    <phoneticPr fontId="5" type="noConversion"/>
  </si>
  <si>
    <t>1. 방 이름 칸을 비워두고 플레이어 이름만 입력
2. 해당 방을 생성 / 참가</t>
    <phoneticPr fontId="5" type="noConversion"/>
  </si>
  <si>
    <t>1. 상점에서 호감도 아이템을 구매
2. 아이템에 맞는 NPC와 대화</t>
    <phoneticPr fontId="5" type="noConversion"/>
  </si>
  <si>
    <t>1. NPC와 대화를 시도
2. 대화 중 호감도가 불변하는 선택지를 클릭
3. 대화 종료</t>
    <phoneticPr fontId="5" type="noConversion"/>
  </si>
  <si>
    <t>1. NPC와 대화를 시도
2. 대화 중 호감도가 감소하는 선택지를 클릭
3. 대화 종료</t>
    <phoneticPr fontId="5" type="noConversion"/>
  </si>
  <si>
    <t>1. 플레이어 이름 및 방 이름을 입력
2. Create Room을 클릭</t>
    <phoneticPr fontId="5" type="noConversion"/>
  </si>
  <si>
    <t>1. NPC와 대화를 시도
2. 대화 중 호감도가 증가하는 선택지를 클릭
3. 대화 종료</t>
    <phoneticPr fontId="5" type="noConversion"/>
  </si>
  <si>
    <t>1. 각 NPC와 처음으로 대화를 시도
2. 좌측 상단의 호감도가 0으로 표시되는지 확인</t>
    <phoneticPr fontId="5" type="noConversion"/>
  </si>
  <si>
    <t>1. 아이템을 소지한 채로 일반 NPC와 대화
2. 대화를 마친 후 인벤토리 창을 열고 아이템의 차감 여부를 확인</t>
    <phoneticPr fontId="5" type="noConversion"/>
  </si>
  <si>
    <t>1. 상점에서 아이템을 구매
2. 구매한 값 만큼의 재화가 차감되는지 확인</t>
    <phoneticPr fontId="5" type="noConversion"/>
  </si>
  <si>
    <t>1. 상점 UI가 출력된 상태에서 Escape키 입력
2. 플레이어가 이동을 시도</t>
    <phoneticPr fontId="5" type="noConversion"/>
  </si>
  <si>
    <t>1. MainScene에서 볼륨을 조정
2. GameScene에서 불륨을 조절
3. 두 Scene에서 불륨이 동일한지 확인</t>
    <phoneticPr fontId="5" type="noConversion"/>
  </si>
  <si>
    <t>A 플레이어가 상자를 열었을 때, B 플레이어 화면에서도 상자가 열린 상태로 바뀌는가?</t>
    <phoneticPr fontId="5" type="noConversion"/>
  </si>
  <si>
    <t>1. Player A가 닫혀있는 상자에 접근하여 'E' 키로 열기
2. Player B가 동일한 상자에 접근하여 상태 확인</t>
    <phoneticPr fontId="5" type="noConversion"/>
  </si>
  <si>
    <t>상자가 사라져 있다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</si>
</sst>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0"/>
      <color rgb="FF000000"/>
      <name val="Arial"/>
    </font>
    <font>
      <sz val="11"/>
      <color theme="1"/>
      <name val="맑은 고딕"/>
      <family val="2"/>
      <charset val="129"/>
      <scheme val="minor"/>
    </font>
    <font>
      <b/>
      <sz val="9"/>
      <name val="굴림"/>
      <family val="3"/>
      <charset val="129"/>
    </font>
    <font>
      <b/>
      <sz val="9"/>
      <color rgb="FFFFFFFF"/>
      <name val="굴림"/>
      <family val="3"/>
      <charset val="129"/>
    </font>
    <font>
      <sz val="9"/>
      <name val="굴림"/>
      <family val="3"/>
      <charset val="129"/>
    </font>
    <font>
      <sz val="8"/>
      <name val="돋움"/>
      <family val="3"/>
      <charset val="129"/>
    </font>
    <font>
      <sz val="10"/>
      <color rgb="FF000000"/>
      <name val="Arial"/>
      <family val="2"/>
    </font>
    <font>
      <sz val="10"/>
      <color rgb="FF000000"/>
      <name val="돋움"/>
      <family val="3"/>
      <charset val="129"/>
    </font>
    <font>
      <b/>
      <sz val="12"/>
      <color theme="1"/>
      <name val="Calibri"/>
      <family val="2"/>
    </font>
    <font>
      <sz val="8"/>
      <name val="맑은 고딕"/>
      <family val="2"/>
      <charset val="129"/>
      <scheme val="minor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sz val="9"/>
      <color theme="1"/>
      <name val="Arial Unicode MS"/>
      <family val="2"/>
      <charset val="129"/>
    </font>
    <font>
      <sz val="9"/>
      <color theme="1"/>
      <name val="맑은 고딕"/>
      <family val="3"/>
      <charset val="129"/>
      <scheme val="minor"/>
    </font>
    <font>
      <u/>
      <sz val="10"/>
      <color theme="10"/>
      <name val="Arial"/>
      <family val="2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ajor"/>
    </font>
    <font>
      <u/>
      <sz val="10"/>
      <color theme="10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</fonts>
  <fills count="11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000000"/>
        <bgColor rgb="FF000000"/>
      </patternFill>
    </fill>
    <fill>
      <patternFill patternType="solid">
        <fgColor rgb="FFEFEFEF"/>
        <bgColor rgb="FFEFEFEF"/>
      </patternFill>
    </fill>
    <fill>
      <patternFill patternType="solid">
        <fgColor rgb="FFCFE2F3"/>
        <bgColor rgb="FFCFE2F3"/>
      </patternFill>
    </fill>
    <fill>
      <patternFill patternType="solid">
        <fgColor rgb="FF9FC5E8"/>
        <bgColor rgb="FF9FC5E8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/>
  </cellStyleXfs>
  <cellXfs count="87"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3" fillId="3" borderId="0" xfId="0" applyFont="1" applyFill="1" applyAlignment="1">
      <alignment wrapText="1"/>
    </xf>
    <xf numFmtId="0" fontId="4" fillId="4" borderId="0" xfId="0" applyFont="1" applyFill="1" applyAlignment="1">
      <alignment wrapText="1"/>
    </xf>
    <xf numFmtId="0" fontId="4" fillId="0" borderId="0" xfId="0" applyFont="1" applyAlignment="1">
      <alignment wrapText="1"/>
    </xf>
    <xf numFmtId="9" fontId="4" fillId="0" borderId="0" xfId="0" applyNumberFormat="1" applyFont="1" applyAlignment="1">
      <alignment wrapText="1"/>
    </xf>
    <xf numFmtId="0" fontId="4" fillId="5" borderId="0" xfId="0" applyFont="1" applyFill="1" applyAlignment="1">
      <alignment wrapText="1"/>
    </xf>
    <xf numFmtId="9" fontId="4" fillId="5" borderId="0" xfId="0" applyNumberFormat="1" applyFont="1" applyFill="1" applyAlignment="1">
      <alignment wrapText="1"/>
    </xf>
    <xf numFmtId="0" fontId="4" fillId="6" borderId="0" xfId="0" applyFont="1" applyFill="1" applyAlignment="1">
      <alignment wrapText="1"/>
    </xf>
    <xf numFmtId="10" fontId="4" fillId="6" borderId="0" xfId="0" applyNumberFormat="1" applyFont="1" applyFill="1" applyAlignment="1">
      <alignment wrapText="1"/>
    </xf>
    <xf numFmtId="0" fontId="0" fillId="0" borderId="0" xfId="0" applyAlignment="1">
      <alignment horizontal="center" wrapText="1"/>
    </xf>
    <xf numFmtId="0" fontId="11" fillId="0" borderId="0" xfId="0" applyFont="1" applyAlignment="1">
      <alignment vertical="center"/>
    </xf>
    <xf numFmtId="0" fontId="10" fillId="9" borderId="8" xfId="0" applyFont="1" applyFill="1" applyBorder="1" applyAlignment="1">
      <alignment horizontal="center" vertical="center"/>
    </xf>
    <xf numFmtId="0" fontId="10" fillId="9" borderId="10" xfId="0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8" fillId="8" borderId="8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14" fontId="11" fillId="0" borderId="8" xfId="0" applyNumberFormat="1" applyFont="1" applyBorder="1" applyAlignment="1">
      <alignment horizontal="center" vertical="center"/>
    </xf>
    <xf numFmtId="14" fontId="11" fillId="0" borderId="9" xfId="0" applyNumberFormat="1" applyFont="1" applyBorder="1" applyAlignment="1">
      <alignment horizontal="center" vertical="center"/>
    </xf>
    <xf numFmtId="14" fontId="11" fillId="0" borderId="10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left" vertical="center"/>
    </xf>
    <xf numFmtId="0" fontId="13" fillId="0" borderId="12" xfId="0" applyFont="1" applyBorder="1" applyAlignment="1">
      <alignment horizontal="left" vertical="center"/>
    </xf>
    <xf numFmtId="0" fontId="13" fillId="0" borderId="13" xfId="0" applyFont="1" applyBorder="1" applyAlignment="1">
      <alignment horizontal="left" vertical="center"/>
    </xf>
    <xf numFmtId="0" fontId="13" fillId="0" borderId="14" xfId="0" applyFont="1" applyBorder="1" applyAlignment="1">
      <alignment horizontal="left" vertical="center"/>
    </xf>
    <xf numFmtId="0" fontId="13" fillId="0" borderId="15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1" fillId="7" borderId="8" xfId="1" applyBorder="1" applyAlignment="1">
      <alignment horizontal="center" vertical="center"/>
    </xf>
    <xf numFmtId="0" fontId="1" fillId="7" borderId="9" xfId="1" applyBorder="1" applyAlignment="1">
      <alignment horizontal="center" vertical="center"/>
    </xf>
    <xf numFmtId="0" fontId="1" fillId="7" borderId="10" xfId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" fillId="7" borderId="1" xfId="1" applyBorder="1" applyAlignment="1">
      <alignment horizontal="center" vertical="center"/>
    </xf>
    <xf numFmtId="0" fontId="15" fillId="10" borderId="1" xfId="1" applyFont="1" applyFill="1" applyBorder="1" applyAlignment="1">
      <alignment horizontal="center" vertical="center"/>
    </xf>
    <xf numFmtId="0" fontId="16" fillId="10" borderId="1" xfId="1" applyFont="1" applyFill="1" applyBorder="1" applyAlignment="1">
      <alignment horizontal="center" vertical="center"/>
    </xf>
    <xf numFmtId="0" fontId="15" fillId="10" borderId="8" xfId="1" applyFont="1" applyFill="1" applyBorder="1" applyAlignment="1">
      <alignment horizontal="center" vertical="center"/>
    </xf>
    <xf numFmtId="0" fontId="16" fillId="10" borderId="9" xfId="1" applyFont="1" applyFill="1" applyBorder="1" applyAlignment="1">
      <alignment horizontal="center" vertical="center"/>
    </xf>
    <xf numFmtId="0" fontId="16" fillId="10" borderId="10" xfId="1" applyFont="1" applyFill="1" applyBorder="1" applyAlignment="1">
      <alignment horizontal="center" vertical="center"/>
    </xf>
    <xf numFmtId="0" fontId="16" fillId="10" borderId="8" xfId="1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left" vertical="center" wrapText="1"/>
    </xf>
    <xf numFmtId="0" fontId="17" fillId="2" borderId="1" xfId="0" applyFont="1" applyFill="1" applyBorder="1" applyAlignment="1">
      <alignment vertical="center" wrapText="1"/>
    </xf>
    <xf numFmtId="0" fontId="18" fillId="0" borderId="1" xfId="2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vertical="center" wrapText="1"/>
    </xf>
    <xf numFmtId="0" fontId="20" fillId="0" borderId="3" xfId="0" applyFont="1" applyBorder="1" applyAlignment="1">
      <alignment horizontal="left" vertical="center" wrapText="1"/>
    </xf>
    <xf numFmtId="0" fontId="19" fillId="0" borderId="3" xfId="0" applyFont="1" applyBorder="1" applyAlignment="1">
      <alignment horizontal="left" vertical="center" wrapText="1"/>
    </xf>
    <xf numFmtId="0" fontId="19" fillId="0" borderId="4" xfId="0" applyFont="1" applyBorder="1" applyAlignment="1">
      <alignment horizontal="left" vertical="center" wrapText="1"/>
    </xf>
    <xf numFmtId="0" fontId="19" fillId="0" borderId="4" xfId="0" applyFont="1" applyBorder="1" applyAlignment="1">
      <alignment horizontal="left" vertical="center" wrapText="1"/>
    </xf>
    <xf numFmtId="0" fontId="19" fillId="0" borderId="1" xfId="0" applyFont="1" applyBorder="1" applyAlignment="1">
      <alignment vertical="center" wrapText="1"/>
    </xf>
    <xf numFmtId="0" fontId="20" fillId="0" borderId="5" xfId="0" applyFont="1" applyBorder="1" applyAlignment="1">
      <alignment horizontal="left" vertical="center" wrapText="1"/>
    </xf>
    <xf numFmtId="0" fontId="19" fillId="0" borderId="3" xfId="0" applyFont="1" applyBorder="1" applyAlignment="1">
      <alignment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left" vertical="center" wrapText="1"/>
    </xf>
    <xf numFmtId="0" fontId="19" fillId="0" borderId="7" xfId="0" applyFont="1" applyBorder="1" applyAlignment="1">
      <alignment horizontal="left" vertical="center" wrapText="1"/>
    </xf>
    <xf numFmtId="0" fontId="19" fillId="0" borderId="2" xfId="0" applyFont="1" applyBorder="1" applyAlignment="1">
      <alignment horizontal="left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left" vertical="center" wrapText="1"/>
    </xf>
    <xf numFmtId="0" fontId="19" fillId="0" borderId="5" xfId="0" applyFont="1" applyBorder="1" applyAlignment="1">
      <alignment horizontal="left" vertical="center" wrapText="1"/>
    </xf>
    <xf numFmtId="0" fontId="19" fillId="0" borderId="5" xfId="0" applyFont="1" applyBorder="1" applyAlignment="1">
      <alignment horizontal="left" vertical="center" wrapText="1"/>
    </xf>
    <xf numFmtId="0" fontId="19" fillId="0" borderId="5" xfId="0" applyFont="1" applyBorder="1" applyAlignment="1">
      <alignment vertical="center" wrapText="1"/>
    </xf>
    <xf numFmtId="0" fontId="19" fillId="0" borderId="2" xfId="0" applyFont="1" applyBorder="1" applyAlignment="1">
      <alignment vertical="center" wrapText="1"/>
    </xf>
    <xf numFmtId="0" fontId="19" fillId="0" borderId="6" xfId="0" applyFont="1" applyBorder="1" applyAlignment="1">
      <alignment vertical="center" wrapText="1"/>
    </xf>
    <xf numFmtId="0" fontId="21" fillId="0" borderId="0" xfId="0" applyFont="1" applyAlignment="1">
      <alignment wrapText="1"/>
    </xf>
    <xf numFmtId="0" fontId="19" fillId="0" borderId="5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0" fillId="0" borderId="12" xfId="0" applyBorder="1" applyAlignment="1">
      <alignment wrapText="1"/>
    </xf>
    <xf numFmtId="0" fontId="0" fillId="0" borderId="12" xfId="0" applyBorder="1" applyAlignment="1">
      <alignment horizontal="center" wrapText="1"/>
    </xf>
  </cellXfs>
  <cellStyles count="3">
    <cellStyle name="60% - 강조색1" xfId="1" builtinId="32"/>
    <cellStyle name="표준" xfId="0" builtinId="0"/>
    <cellStyle name="하이퍼링크" xfId="2" builtinId="8"/>
  </cellStyles>
  <dxfs count="88"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783F04"/>
      </font>
      <fill>
        <patternFill patternType="solid">
          <fgColor rgb="FFFCE5CD"/>
          <bgColor rgb="FFFCE5CD"/>
        </patternFill>
      </fill>
    </dxf>
    <dxf>
      <font>
        <color rgb="FF20124D"/>
      </font>
      <fill>
        <patternFill patternType="solid">
          <fgColor rgb="FFD9D2E9"/>
          <bgColor rgb="FFD9D2E9"/>
        </patternFill>
      </fill>
    </dxf>
    <dxf>
      <font>
        <color rgb="FF660000"/>
      </font>
      <fill>
        <patternFill patternType="solid">
          <fgColor rgb="FFF4CCCC"/>
          <bgColor rgb="FFF4CCCC"/>
        </patternFill>
      </fill>
    </dxf>
    <dxf>
      <font>
        <color rgb="FF073763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ill>
        <patternFill patternType="solid">
          <fgColor rgb="FFF3F3F3"/>
          <bgColor rgb="FFF3F3F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L82"/>
  <sheetViews>
    <sheetView zoomScale="115" zoomScaleNormal="115" workbookViewId="0">
      <pane ySplit="1" topLeftCell="A59" activePane="bottomLeft" state="frozen"/>
      <selection pane="bottomLeft" activeCell="A61" sqref="A61"/>
    </sheetView>
  </sheetViews>
  <sheetFormatPr defaultColWidth="12.5703125" defaultRowHeight="12.75" customHeight="1" x14ac:dyDescent="0.2"/>
  <cols>
    <col min="1" max="1" width="4.5703125" bestFit="1" customWidth="1"/>
    <col min="2" max="2" width="10.42578125" bestFit="1" customWidth="1"/>
    <col min="3" max="3" width="11.140625" bestFit="1" customWidth="1"/>
    <col min="4" max="4" width="15.85546875" bestFit="1" customWidth="1"/>
    <col min="5" max="5" width="85.85546875" bestFit="1" customWidth="1"/>
    <col min="6" max="6" width="21" bestFit="1" customWidth="1"/>
    <col min="7" max="7" width="59.85546875" bestFit="1" customWidth="1"/>
    <col min="8" max="8" width="57" bestFit="1" customWidth="1"/>
    <col min="9" max="9" width="6.28515625" style="10" bestFit="1" customWidth="1"/>
    <col min="10" max="10" width="9.42578125" bestFit="1" customWidth="1"/>
    <col min="11" max="11" width="5.42578125" bestFit="1" customWidth="1"/>
    <col min="12" max="12" width="10.42578125" bestFit="1" customWidth="1"/>
  </cols>
  <sheetData>
    <row r="1" spans="1:12" x14ac:dyDescent="0.2">
      <c r="A1" s="56" t="s">
        <v>0</v>
      </c>
      <c r="B1" s="56" t="s">
        <v>1</v>
      </c>
      <c r="C1" s="56" t="s">
        <v>2</v>
      </c>
      <c r="D1" s="56" t="s">
        <v>3</v>
      </c>
      <c r="E1" s="56" t="s">
        <v>4</v>
      </c>
      <c r="F1" s="56" t="s">
        <v>171</v>
      </c>
      <c r="G1" s="56" t="s">
        <v>5</v>
      </c>
      <c r="H1" s="56" t="s">
        <v>6</v>
      </c>
      <c r="I1" s="57" t="s">
        <v>7</v>
      </c>
      <c r="J1" s="56" t="s">
        <v>8</v>
      </c>
      <c r="K1" s="56" t="s">
        <v>9</v>
      </c>
      <c r="L1" s="56" t="s">
        <v>10</v>
      </c>
    </row>
    <row r="2" spans="1:12" ht="13.5" x14ac:dyDescent="0.2">
      <c r="A2" s="58">
        <f t="shared" ref="A2:A33" si="0">HYPERLINK("#'" &amp; (ROW()-1) &amp; "'!A1", ROW()-1)</f>
        <v>1</v>
      </c>
      <c r="B2" s="59" t="s">
        <v>31</v>
      </c>
      <c r="C2" s="60" t="s">
        <v>12</v>
      </c>
      <c r="D2" s="60" t="s">
        <v>11</v>
      </c>
      <c r="E2" s="60" t="s">
        <v>172</v>
      </c>
      <c r="F2" s="60"/>
      <c r="G2" s="60" t="s">
        <v>173</v>
      </c>
      <c r="H2" s="60" t="s">
        <v>174</v>
      </c>
      <c r="I2" s="61" t="s">
        <v>78</v>
      </c>
      <c r="J2" s="60"/>
      <c r="K2" s="60"/>
      <c r="L2" s="60" t="str">
        <f t="shared" ref="L2:L5" si="1">IF(B2="",L1,B2)</f>
        <v>게임실행</v>
      </c>
    </row>
    <row r="3" spans="1:12" ht="12.75" customHeight="1" x14ac:dyDescent="0.2">
      <c r="A3" s="60">
        <f t="shared" si="0"/>
        <v>2</v>
      </c>
      <c r="B3" s="62"/>
      <c r="C3" s="59" t="s">
        <v>14</v>
      </c>
      <c r="D3" s="63" t="s">
        <v>15</v>
      </c>
      <c r="E3" s="63" t="s">
        <v>175</v>
      </c>
      <c r="F3" s="63"/>
      <c r="G3" s="63" t="s">
        <v>176</v>
      </c>
      <c r="H3" s="63" t="s">
        <v>177</v>
      </c>
      <c r="I3" s="61" t="s">
        <v>78</v>
      </c>
      <c r="J3" s="63"/>
      <c r="K3" s="63"/>
      <c r="L3" s="60" t="str">
        <f t="shared" si="1"/>
        <v>게임실행</v>
      </c>
    </row>
    <row r="4" spans="1:12" ht="24" x14ac:dyDescent="0.2">
      <c r="A4" s="60">
        <f t="shared" si="0"/>
        <v>3</v>
      </c>
      <c r="B4" s="62"/>
      <c r="C4" s="62"/>
      <c r="D4" s="63" t="s">
        <v>121</v>
      </c>
      <c r="E4" s="63" t="s">
        <v>19</v>
      </c>
      <c r="F4" s="63"/>
      <c r="G4" s="63" t="s">
        <v>178</v>
      </c>
      <c r="H4" s="63" t="s">
        <v>179</v>
      </c>
      <c r="I4" s="61" t="s">
        <v>78</v>
      </c>
      <c r="J4" s="63"/>
      <c r="K4" s="63"/>
      <c r="L4" s="60" t="str">
        <f t="shared" si="1"/>
        <v>게임실행</v>
      </c>
    </row>
    <row r="5" spans="1:12" ht="12.75" customHeight="1" thickBot="1" x14ac:dyDescent="0.25">
      <c r="A5" s="60">
        <f t="shared" si="0"/>
        <v>4</v>
      </c>
      <c r="B5" s="64"/>
      <c r="C5" s="64"/>
      <c r="D5" s="65" t="s">
        <v>21</v>
      </c>
      <c r="E5" s="65" t="s">
        <v>22</v>
      </c>
      <c r="F5" s="65"/>
      <c r="G5" s="65" t="s">
        <v>180</v>
      </c>
      <c r="H5" s="65" t="s">
        <v>56</v>
      </c>
      <c r="I5" s="61" t="s">
        <v>78</v>
      </c>
      <c r="J5" s="65"/>
      <c r="K5" s="65"/>
      <c r="L5" s="60" t="str">
        <f t="shared" si="1"/>
        <v>게임실행</v>
      </c>
    </row>
    <row r="6" spans="1:12" x14ac:dyDescent="0.2">
      <c r="A6" s="60">
        <f t="shared" si="0"/>
        <v>5</v>
      </c>
      <c r="B6" s="66" t="s">
        <v>23</v>
      </c>
      <c r="C6" s="66" t="s">
        <v>85</v>
      </c>
      <c r="D6" s="66" t="s">
        <v>93</v>
      </c>
      <c r="E6" s="67" t="s">
        <v>52</v>
      </c>
      <c r="F6" s="67" t="s">
        <v>181</v>
      </c>
      <c r="G6" s="67" t="s">
        <v>182</v>
      </c>
      <c r="H6" s="67" t="s">
        <v>183</v>
      </c>
      <c r="I6" s="61" t="s">
        <v>78</v>
      </c>
      <c r="J6" s="67"/>
      <c r="K6" s="67"/>
      <c r="L6" s="67" t="str">
        <f t="shared" ref="L6:L10" si="2">IF(B6="",L5,B6)</f>
        <v>메뉴기능</v>
      </c>
    </row>
    <row r="7" spans="1:12" x14ac:dyDescent="0.2">
      <c r="A7" s="60">
        <f t="shared" si="0"/>
        <v>6</v>
      </c>
      <c r="B7" s="62"/>
      <c r="C7" s="62"/>
      <c r="D7" s="59"/>
      <c r="E7" s="60" t="s">
        <v>53</v>
      </c>
      <c r="F7" s="60" t="s">
        <v>181</v>
      </c>
      <c r="G7" s="60" t="s">
        <v>184</v>
      </c>
      <c r="H7" s="60" t="s">
        <v>185</v>
      </c>
      <c r="I7" s="61" t="s">
        <v>78</v>
      </c>
      <c r="J7" s="60"/>
      <c r="K7" s="60"/>
      <c r="L7" s="60" t="str">
        <f t="shared" si="2"/>
        <v>메뉴기능</v>
      </c>
    </row>
    <row r="8" spans="1:12" x14ac:dyDescent="0.2">
      <c r="A8" s="60">
        <f t="shared" si="0"/>
        <v>7</v>
      </c>
      <c r="B8" s="62"/>
      <c r="C8" s="62"/>
      <c r="D8" s="59"/>
      <c r="E8" s="60" t="s">
        <v>54</v>
      </c>
      <c r="F8" s="60" t="s">
        <v>181</v>
      </c>
      <c r="G8" s="60" t="s">
        <v>55</v>
      </c>
      <c r="H8" s="60" t="s">
        <v>56</v>
      </c>
      <c r="I8" s="61" t="s">
        <v>78</v>
      </c>
      <c r="J8" s="60"/>
      <c r="K8" s="60"/>
      <c r="L8" s="60" t="str">
        <f t="shared" si="2"/>
        <v>메뉴기능</v>
      </c>
    </row>
    <row r="9" spans="1:12" ht="12.75" customHeight="1" x14ac:dyDescent="0.2">
      <c r="A9" s="60">
        <f t="shared" si="0"/>
        <v>8</v>
      </c>
      <c r="B9" s="62"/>
      <c r="C9" s="62"/>
      <c r="D9" s="59" t="s">
        <v>94</v>
      </c>
      <c r="E9" s="60" t="s">
        <v>58</v>
      </c>
      <c r="F9" s="60" t="s">
        <v>181</v>
      </c>
      <c r="G9" s="60" t="s">
        <v>186</v>
      </c>
      <c r="H9" s="60" t="s">
        <v>59</v>
      </c>
      <c r="I9" s="61" t="s">
        <v>78</v>
      </c>
      <c r="J9" s="60"/>
      <c r="K9" s="60"/>
      <c r="L9" s="60" t="str">
        <f t="shared" si="2"/>
        <v>메뉴기능</v>
      </c>
    </row>
    <row r="10" spans="1:12" x14ac:dyDescent="0.2">
      <c r="A10" s="60">
        <f t="shared" si="0"/>
        <v>9</v>
      </c>
      <c r="B10" s="62"/>
      <c r="C10" s="62"/>
      <c r="D10" s="62"/>
      <c r="E10" s="60" t="s">
        <v>187</v>
      </c>
      <c r="F10" s="60" t="s">
        <v>181</v>
      </c>
      <c r="G10" s="60" t="s">
        <v>188</v>
      </c>
      <c r="H10" s="60" t="s">
        <v>60</v>
      </c>
      <c r="I10" s="61" t="s">
        <v>78</v>
      </c>
      <c r="J10" s="60"/>
      <c r="K10" s="60"/>
      <c r="L10" s="60" t="str">
        <f t="shared" si="2"/>
        <v>메뉴기능</v>
      </c>
    </row>
    <row r="11" spans="1:12" ht="36" x14ac:dyDescent="0.2">
      <c r="A11" s="60">
        <f t="shared" si="0"/>
        <v>10</v>
      </c>
      <c r="B11" s="62"/>
      <c r="C11" s="62"/>
      <c r="D11" s="68" t="s">
        <v>57</v>
      </c>
      <c r="E11" s="60" t="s">
        <v>189</v>
      </c>
      <c r="F11" s="60" t="s">
        <v>80</v>
      </c>
      <c r="G11" s="60" t="s">
        <v>311</v>
      </c>
      <c r="H11" s="60" t="s">
        <v>88</v>
      </c>
      <c r="I11" s="61" t="s">
        <v>79</v>
      </c>
      <c r="J11" s="60" t="s">
        <v>190</v>
      </c>
      <c r="K11" s="60"/>
      <c r="L11" s="60" t="str">
        <f>IF(B11="",L10,B11)</f>
        <v>메뉴기능</v>
      </c>
    </row>
    <row r="12" spans="1:12" ht="24" x14ac:dyDescent="0.2">
      <c r="A12" s="60">
        <f t="shared" si="0"/>
        <v>11</v>
      </c>
      <c r="B12" s="62"/>
      <c r="C12" s="62"/>
      <c r="D12" s="68"/>
      <c r="E12" s="60" t="s">
        <v>61</v>
      </c>
      <c r="F12" s="60" t="s">
        <v>191</v>
      </c>
      <c r="G12" s="60" t="s">
        <v>192</v>
      </c>
      <c r="H12" s="60" t="s">
        <v>63</v>
      </c>
      <c r="I12" s="61" t="s">
        <v>78</v>
      </c>
      <c r="J12" s="60"/>
      <c r="K12" s="60"/>
      <c r="L12" s="60" t="str">
        <f>IF(B12="",L10,B12)</f>
        <v>메뉴기능</v>
      </c>
    </row>
    <row r="13" spans="1:12" ht="24.75" thickBot="1" x14ac:dyDescent="0.25">
      <c r="A13" s="60">
        <f t="shared" si="0"/>
        <v>12</v>
      </c>
      <c r="B13" s="64"/>
      <c r="C13" s="69"/>
      <c r="D13" s="70"/>
      <c r="E13" s="65" t="s">
        <v>193</v>
      </c>
      <c r="F13" s="65" t="s">
        <v>191</v>
      </c>
      <c r="G13" s="65" t="s">
        <v>194</v>
      </c>
      <c r="H13" s="65" t="s">
        <v>62</v>
      </c>
      <c r="I13" s="71" t="s">
        <v>78</v>
      </c>
      <c r="J13" s="65"/>
      <c r="K13" s="65"/>
      <c r="L13" s="65" t="str">
        <f>IF(B13="",L11,B13)</f>
        <v>메뉴기능</v>
      </c>
    </row>
    <row r="14" spans="1:12" x14ac:dyDescent="0.2">
      <c r="A14" s="60">
        <f t="shared" si="0"/>
        <v>13</v>
      </c>
      <c r="B14" s="72" t="s">
        <v>24</v>
      </c>
      <c r="C14" s="73" t="s">
        <v>33</v>
      </c>
      <c r="D14" s="72" t="s">
        <v>32</v>
      </c>
      <c r="E14" s="74" t="s">
        <v>195</v>
      </c>
      <c r="F14" s="74" t="s">
        <v>196</v>
      </c>
      <c r="G14" s="74" t="s">
        <v>197</v>
      </c>
      <c r="H14" s="74" t="s">
        <v>198</v>
      </c>
      <c r="I14" s="75" t="s">
        <v>78</v>
      </c>
      <c r="J14" s="74"/>
      <c r="K14" s="74"/>
      <c r="L14" s="74" t="str">
        <f>IF(B14="",#REF!,B14)</f>
        <v>인게임기능</v>
      </c>
    </row>
    <row r="15" spans="1:12" x14ac:dyDescent="0.2">
      <c r="A15" s="60">
        <f t="shared" si="0"/>
        <v>14</v>
      </c>
      <c r="B15" s="59"/>
      <c r="C15" s="76"/>
      <c r="D15" s="59"/>
      <c r="E15" s="60" t="s">
        <v>199</v>
      </c>
      <c r="F15" s="60" t="s">
        <v>196</v>
      </c>
      <c r="G15" s="60" t="s">
        <v>200</v>
      </c>
      <c r="H15" s="60" t="s">
        <v>201</v>
      </c>
      <c r="I15" s="61" t="s">
        <v>78</v>
      </c>
      <c r="J15" s="60"/>
      <c r="K15" s="60"/>
      <c r="L15" s="60" t="str">
        <f t="shared" ref="L15:L69" si="3">IF(B15="",L14,B15)</f>
        <v>인게임기능</v>
      </c>
    </row>
    <row r="16" spans="1:12" x14ac:dyDescent="0.2">
      <c r="A16" s="60">
        <f t="shared" si="0"/>
        <v>15</v>
      </c>
      <c r="B16" s="59"/>
      <c r="C16" s="76"/>
      <c r="D16" s="59"/>
      <c r="E16" s="60" t="s">
        <v>202</v>
      </c>
      <c r="F16" s="60" t="s">
        <v>196</v>
      </c>
      <c r="G16" s="60" t="s">
        <v>203</v>
      </c>
      <c r="H16" s="60" t="s">
        <v>38</v>
      </c>
      <c r="I16" s="61" t="s">
        <v>78</v>
      </c>
      <c r="J16" s="60"/>
      <c r="K16" s="60"/>
      <c r="L16" s="60" t="str">
        <f t="shared" si="3"/>
        <v>인게임기능</v>
      </c>
    </row>
    <row r="17" spans="1:12" ht="24" x14ac:dyDescent="0.2">
      <c r="A17" s="60">
        <f t="shared" si="0"/>
        <v>16</v>
      </c>
      <c r="B17" s="59"/>
      <c r="C17" s="76"/>
      <c r="D17" s="59"/>
      <c r="E17" s="60" t="s">
        <v>204</v>
      </c>
      <c r="F17" s="60" t="s">
        <v>196</v>
      </c>
      <c r="G17" s="60" t="s">
        <v>310</v>
      </c>
      <c r="H17" s="60" t="s">
        <v>39</v>
      </c>
      <c r="I17" s="61" t="s">
        <v>78</v>
      </c>
      <c r="J17" s="60"/>
      <c r="K17" s="60"/>
      <c r="L17" s="60" t="str">
        <f t="shared" si="3"/>
        <v>인게임기능</v>
      </c>
    </row>
    <row r="18" spans="1:12" ht="24" x14ac:dyDescent="0.2">
      <c r="A18" s="60">
        <f t="shared" si="0"/>
        <v>17</v>
      </c>
      <c r="B18" s="59"/>
      <c r="C18" s="76"/>
      <c r="D18" s="59"/>
      <c r="E18" s="60" t="s">
        <v>34</v>
      </c>
      <c r="F18" s="60" t="s">
        <v>196</v>
      </c>
      <c r="G18" s="60" t="s">
        <v>205</v>
      </c>
      <c r="H18" s="60" t="s">
        <v>206</v>
      </c>
      <c r="I18" s="61" t="s">
        <v>78</v>
      </c>
      <c r="J18" s="60"/>
      <c r="K18" s="60"/>
      <c r="L18" s="60" t="str">
        <f t="shared" si="3"/>
        <v>인게임기능</v>
      </c>
    </row>
    <row r="19" spans="1:12" ht="24" x14ac:dyDescent="0.2">
      <c r="A19" s="60">
        <f t="shared" si="0"/>
        <v>18</v>
      </c>
      <c r="B19" s="59"/>
      <c r="C19" s="76"/>
      <c r="D19" s="59"/>
      <c r="E19" s="60" t="s">
        <v>35</v>
      </c>
      <c r="F19" s="60" t="s">
        <v>196</v>
      </c>
      <c r="G19" s="60" t="s">
        <v>207</v>
      </c>
      <c r="H19" s="60" t="s">
        <v>42</v>
      </c>
      <c r="I19" s="61" t="s">
        <v>78</v>
      </c>
      <c r="J19" s="60"/>
      <c r="K19" s="60"/>
      <c r="L19" s="60" t="str">
        <f t="shared" si="3"/>
        <v>인게임기능</v>
      </c>
    </row>
    <row r="20" spans="1:12" ht="24" x14ac:dyDescent="0.2">
      <c r="A20" s="60">
        <f t="shared" si="0"/>
        <v>19</v>
      </c>
      <c r="B20" s="62"/>
      <c r="C20" s="76"/>
      <c r="D20" s="59"/>
      <c r="E20" s="60" t="s">
        <v>36</v>
      </c>
      <c r="F20" s="60" t="s">
        <v>196</v>
      </c>
      <c r="G20" s="60" t="s">
        <v>208</v>
      </c>
      <c r="H20" s="60" t="s">
        <v>37</v>
      </c>
      <c r="I20" s="61" t="s">
        <v>78</v>
      </c>
      <c r="J20" s="60"/>
      <c r="K20" s="60"/>
      <c r="L20" s="60" t="str">
        <f t="shared" si="3"/>
        <v>인게임기능</v>
      </c>
    </row>
    <row r="21" spans="1:12" ht="24" x14ac:dyDescent="0.2">
      <c r="A21" s="60">
        <f t="shared" si="0"/>
        <v>20</v>
      </c>
      <c r="B21" s="62"/>
      <c r="C21" s="76"/>
      <c r="D21" s="59"/>
      <c r="E21" s="60" t="s">
        <v>40</v>
      </c>
      <c r="F21" s="60" t="s">
        <v>196</v>
      </c>
      <c r="G21" s="60" t="s">
        <v>309</v>
      </c>
      <c r="H21" s="60" t="s">
        <v>41</v>
      </c>
      <c r="I21" s="61" t="s">
        <v>79</v>
      </c>
      <c r="J21" s="60" t="s">
        <v>190</v>
      </c>
      <c r="K21" s="60"/>
      <c r="L21" s="60" t="str">
        <f t="shared" si="3"/>
        <v>인게임기능</v>
      </c>
    </row>
    <row r="22" spans="1:12" x14ac:dyDescent="0.2">
      <c r="A22" s="60">
        <f t="shared" si="0"/>
        <v>21</v>
      </c>
      <c r="B22" s="62"/>
      <c r="C22" s="76"/>
      <c r="D22" s="77" t="s">
        <v>44</v>
      </c>
      <c r="E22" s="60" t="s">
        <v>45</v>
      </c>
      <c r="F22" s="60" t="s">
        <v>196</v>
      </c>
      <c r="G22" s="60" t="s">
        <v>209</v>
      </c>
      <c r="H22" s="60" t="s">
        <v>210</v>
      </c>
      <c r="I22" s="61" t="s">
        <v>78</v>
      </c>
      <c r="J22" s="60"/>
      <c r="K22" s="60"/>
      <c r="L22" s="60" t="str">
        <f t="shared" si="3"/>
        <v>인게임기능</v>
      </c>
    </row>
    <row r="23" spans="1:12" x14ac:dyDescent="0.2">
      <c r="A23" s="60">
        <f t="shared" si="0"/>
        <v>22</v>
      </c>
      <c r="B23" s="62"/>
      <c r="C23" s="76"/>
      <c r="D23" s="76"/>
      <c r="E23" s="60" t="s">
        <v>211</v>
      </c>
      <c r="F23" s="60" t="s">
        <v>196</v>
      </c>
      <c r="G23" s="60" t="s">
        <v>212</v>
      </c>
      <c r="H23" s="60" t="s">
        <v>213</v>
      </c>
      <c r="I23" s="61" t="s">
        <v>78</v>
      </c>
      <c r="J23" s="60"/>
      <c r="K23" s="60"/>
      <c r="L23" s="60" t="str">
        <f t="shared" si="3"/>
        <v>인게임기능</v>
      </c>
    </row>
    <row r="24" spans="1:12" x14ac:dyDescent="0.2">
      <c r="A24" s="60">
        <f t="shared" si="0"/>
        <v>23</v>
      </c>
      <c r="B24" s="62"/>
      <c r="C24" s="76"/>
      <c r="D24" s="76"/>
      <c r="E24" s="60" t="s">
        <v>214</v>
      </c>
      <c r="F24" s="60" t="s">
        <v>196</v>
      </c>
      <c r="G24" s="60" t="s">
        <v>215</v>
      </c>
      <c r="H24" s="60" t="s">
        <v>48</v>
      </c>
      <c r="I24" s="61" t="s">
        <v>78</v>
      </c>
      <c r="J24" s="60"/>
      <c r="K24" s="60"/>
      <c r="L24" s="60" t="str">
        <f t="shared" si="3"/>
        <v>인게임기능</v>
      </c>
    </row>
    <row r="25" spans="1:12" ht="24" x14ac:dyDescent="0.2">
      <c r="A25" s="60">
        <f t="shared" si="0"/>
        <v>24</v>
      </c>
      <c r="B25" s="62"/>
      <c r="C25" s="76"/>
      <c r="D25" s="76"/>
      <c r="E25" s="60" t="s">
        <v>43</v>
      </c>
      <c r="F25" s="60" t="s">
        <v>196</v>
      </c>
      <c r="G25" s="60" t="s">
        <v>216</v>
      </c>
      <c r="H25" s="60" t="s">
        <v>46</v>
      </c>
      <c r="I25" s="61" t="s">
        <v>79</v>
      </c>
      <c r="J25" s="60" t="s">
        <v>190</v>
      </c>
      <c r="K25" s="60"/>
      <c r="L25" s="60" t="str">
        <f t="shared" si="3"/>
        <v>인게임기능</v>
      </c>
    </row>
    <row r="26" spans="1:12" ht="24" x14ac:dyDescent="0.2">
      <c r="A26" s="60">
        <f t="shared" si="0"/>
        <v>25</v>
      </c>
      <c r="B26" s="62"/>
      <c r="C26" s="76"/>
      <c r="D26" s="72"/>
      <c r="E26" s="60" t="s">
        <v>47</v>
      </c>
      <c r="F26" s="60" t="s">
        <v>196</v>
      </c>
      <c r="G26" s="60" t="s">
        <v>308</v>
      </c>
      <c r="H26" s="60" t="s">
        <v>49</v>
      </c>
      <c r="I26" s="61" t="s">
        <v>78</v>
      </c>
      <c r="J26" s="60"/>
      <c r="K26" s="60"/>
      <c r="L26" s="60" t="str">
        <f t="shared" si="3"/>
        <v>인게임기능</v>
      </c>
    </row>
    <row r="27" spans="1:12" ht="24" x14ac:dyDescent="0.2">
      <c r="A27" s="60">
        <f t="shared" si="0"/>
        <v>26</v>
      </c>
      <c r="B27" s="62"/>
      <c r="C27" s="76"/>
      <c r="D27" s="77" t="s">
        <v>50</v>
      </c>
      <c r="E27" s="60" t="s">
        <v>217</v>
      </c>
      <c r="F27" s="60" t="s">
        <v>196</v>
      </c>
      <c r="G27" s="60" t="s">
        <v>307</v>
      </c>
      <c r="H27" s="60" t="s">
        <v>87</v>
      </c>
      <c r="I27" s="61" t="s">
        <v>78</v>
      </c>
      <c r="J27" s="60"/>
      <c r="K27" s="60"/>
      <c r="L27" s="60" t="str">
        <f>IF(B27="",L26,B27)</f>
        <v>인게임기능</v>
      </c>
    </row>
    <row r="28" spans="1:12" ht="36" x14ac:dyDescent="0.2">
      <c r="A28" s="60">
        <f t="shared" si="0"/>
        <v>27</v>
      </c>
      <c r="B28" s="62"/>
      <c r="C28" s="76"/>
      <c r="D28" s="76"/>
      <c r="E28" s="60" t="s">
        <v>218</v>
      </c>
      <c r="F28" s="60" t="s">
        <v>196</v>
      </c>
      <c r="G28" s="60" t="s">
        <v>306</v>
      </c>
      <c r="H28" s="60" t="s">
        <v>137</v>
      </c>
      <c r="I28" s="61" t="s">
        <v>78</v>
      </c>
      <c r="J28" s="60"/>
      <c r="K28" s="60"/>
      <c r="L28" s="60" t="str">
        <f t="shared" si="3"/>
        <v>인게임기능</v>
      </c>
    </row>
    <row r="29" spans="1:12" ht="36" x14ac:dyDescent="0.2">
      <c r="A29" s="60">
        <f t="shared" si="0"/>
        <v>28</v>
      </c>
      <c r="B29" s="62"/>
      <c r="C29" s="76"/>
      <c r="D29" s="76"/>
      <c r="E29" s="60" t="s">
        <v>219</v>
      </c>
      <c r="F29" s="60" t="s">
        <v>196</v>
      </c>
      <c r="G29" s="60" t="s">
        <v>304</v>
      </c>
      <c r="H29" s="60" t="s">
        <v>138</v>
      </c>
      <c r="I29" s="61" t="s">
        <v>78</v>
      </c>
      <c r="J29" s="60"/>
      <c r="K29" s="60"/>
      <c r="L29" s="60" t="str">
        <f t="shared" si="3"/>
        <v>인게임기능</v>
      </c>
    </row>
    <row r="30" spans="1:12" ht="36" x14ac:dyDescent="0.2">
      <c r="A30" s="60">
        <f t="shared" si="0"/>
        <v>29</v>
      </c>
      <c r="B30" s="62"/>
      <c r="C30" s="76"/>
      <c r="D30" s="76"/>
      <c r="E30" s="60" t="s">
        <v>220</v>
      </c>
      <c r="F30" s="60" t="s">
        <v>196</v>
      </c>
      <c r="G30" s="60" t="s">
        <v>303</v>
      </c>
      <c r="H30" s="60" t="s">
        <v>90</v>
      </c>
      <c r="I30" s="61" t="s">
        <v>78</v>
      </c>
      <c r="J30" s="60"/>
      <c r="K30" s="60"/>
      <c r="L30" s="60" t="str">
        <f>IF(B30="",L28,B30)</f>
        <v>인게임기능</v>
      </c>
    </row>
    <row r="31" spans="1:12" ht="24" x14ac:dyDescent="0.2">
      <c r="A31" s="60">
        <f t="shared" si="0"/>
        <v>30</v>
      </c>
      <c r="B31" s="62"/>
      <c r="C31" s="76"/>
      <c r="D31" s="76"/>
      <c r="E31" s="60" t="s">
        <v>221</v>
      </c>
      <c r="F31" s="60" t="s">
        <v>196</v>
      </c>
      <c r="G31" s="60" t="s">
        <v>222</v>
      </c>
      <c r="H31" s="60" t="s">
        <v>92</v>
      </c>
      <c r="I31" s="61" t="s">
        <v>78</v>
      </c>
      <c r="J31" s="60"/>
      <c r="K31" s="60"/>
      <c r="L31" s="60" t="str">
        <f>IF(B31="",L28,B31)</f>
        <v>인게임기능</v>
      </c>
    </row>
    <row r="32" spans="1:12" ht="24" x14ac:dyDescent="0.2">
      <c r="A32" s="60">
        <f t="shared" si="0"/>
        <v>31</v>
      </c>
      <c r="B32" s="62"/>
      <c r="C32" s="76"/>
      <c r="D32" s="76"/>
      <c r="E32" s="60" t="s">
        <v>223</v>
      </c>
      <c r="F32" s="60" t="s">
        <v>196</v>
      </c>
      <c r="G32" s="60" t="s">
        <v>302</v>
      </c>
      <c r="H32" s="60" t="s">
        <v>91</v>
      </c>
      <c r="I32" s="61" t="s">
        <v>78</v>
      </c>
      <c r="J32" s="60"/>
      <c r="K32" s="60"/>
      <c r="L32" s="60" t="str">
        <f>IF(B32="",L29,B32)</f>
        <v>인게임기능</v>
      </c>
    </row>
    <row r="33" spans="1:12" x14ac:dyDescent="0.2">
      <c r="A33" s="60">
        <f t="shared" si="0"/>
        <v>32</v>
      </c>
      <c r="B33" s="62"/>
      <c r="C33" s="76"/>
      <c r="D33" s="72"/>
      <c r="E33" s="60" t="s">
        <v>107</v>
      </c>
      <c r="F33" s="60" t="s">
        <v>196</v>
      </c>
      <c r="G33" s="60" t="s">
        <v>224</v>
      </c>
      <c r="H33" s="60" t="s">
        <v>106</v>
      </c>
      <c r="I33" s="61" t="s">
        <v>78</v>
      </c>
      <c r="J33" s="60"/>
      <c r="K33" s="60"/>
      <c r="L33" s="60" t="str">
        <f>IF(B33="",L30,B33)</f>
        <v>인게임기능</v>
      </c>
    </row>
    <row r="34" spans="1:12" x14ac:dyDescent="0.2">
      <c r="A34" s="60">
        <f t="shared" ref="A34:A77" si="4">HYPERLINK("#'" &amp; (ROW()-1) &amp; "'!A1", ROW()-1)</f>
        <v>33</v>
      </c>
      <c r="B34" s="62"/>
      <c r="C34" s="76"/>
      <c r="D34" s="59" t="s">
        <v>51</v>
      </c>
      <c r="E34" s="60" t="s">
        <v>64</v>
      </c>
      <c r="F34" s="60" t="s">
        <v>225</v>
      </c>
      <c r="G34" s="60" t="s">
        <v>226</v>
      </c>
      <c r="H34" s="60" t="s">
        <v>66</v>
      </c>
      <c r="I34" s="61" t="s">
        <v>78</v>
      </c>
      <c r="J34" s="60"/>
      <c r="K34" s="60"/>
      <c r="L34" s="60" t="str">
        <f>IF(B34="",L32,B34)</f>
        <v>인게임기능</v>
      </c>
    </row>
    <row r="35" spans="1:12" x14ac:dyDescent="0.2">
      <c r="A35" s="60">
        <f t="shared" si="4"/>
        <v>34</v>
      </c>
      <c r="B35" s="62"/>
      <c r="C35" s="76"/>
      <c r="D35" s="59"/>
      <c r="E35" s="60" t="s">
        <v>65</v>
      </c>
      <c r="F35" s="60" t="s">
        <v>225</v>
      </c>
      <c r="G35" s="60" t="s">
        <v>227</v>
      </c>
      <c r="H35" s="60" t="s">
        <v>67</v>
      </c>
      <c r="I35" s="61" t="s">
        <v>78</v>
      </c>
      <c r="J35" s="60"/>
      <c r="K35" s="60"/>
      <c r="L35" s="60" t="str">
        <f t="shared" si="3"/>
        <v>인게임기능</v>
      </c>
    </row>
    <row r="36" spans="1:12" ht="24" x14ac:dyDescent="0.2">
      <c r="A36" s="60">
        <f t="shared" si="4"/>
        <v>35</v>
      </c>
      <c r="B36" s="62"/>
      <c r="C36" s="76"/>
      <c r="D36" s="59"/>
      <c r="E36" s="60" t="s">
        <v>68</v>
      </c>
      <c r="F36" s="60" t="s">
        <v>225</v>
      </c>
      <c r="G36" s="60" t="s">
        <v>305</v>
      </c>
      <c r="H36" s="60" t="s">
        <v>74</v>
      </c>
      <c r="I36" s="61" t="s">
        <v>78</v>
      </c>
      <c r="J36" s="60"/>
      <c r="K36" s="60"/>
      <c r="L36" s="60" t="str">
        <f t="shared" si="3"/>
        <v>인게임기능</v>
      </c>
    </row>
    <row r="37" spans="1:12" ht="24" x14ac:dyDescent="0.2">
      <c r="A37" s="60">
        <f t="shared" si="4"/>
        <v>36</v>
      </c>
      <c r="B37" s="62"/>
      <c r="C37" s="76"/>
      <c r="D37" s="59"/>
      <c r="E37" s="60" t="s">
        <v>69</v>
      </c>
      <c r="F37" s="60" t="s">
        <v>225</v>
      </c>
      <c r="G37" s="60" t="s">
        <v>228</v>
      </c>
      <c r="H37" s="60" t="s">
        <v>73</v>
      </c>
      <c r="I37" s="61" t="s">
        <v>78</v>
      </c>
      <c r="J37" s="60"/>
      <c r="K37" s="60"/>
      <c r="L37" s="60" t="str">
        <f t="shared" si="3"/>
        <v>인게임기능</v>
      </c>
    </row>
    <row r="38" spans="1:12" ht="60" x14ac:dyDescent="0.2">
      <c r="A38" s="60">
        <f t="shared" si="4"/>
        <v>37</v>
      </c>
      <c r="B38" s="62"/>
      <c r="C38" s="76"/>
      <c r="D38" s="59"/>
      <c r="E38" s="60" t="s">
        <v>70</v>
      </c>
      <c r="F38" s="60" t="s">
        <v>225</v>
      </c>
      <c r="G38" s="60" t="s">
        <v>299</v>
      </c>
      <c r="H38" s="60" t="s">
        <v>75</v>
      </c>
      <c r="I38" s="61" t="s">
        <v>78</v>
      </c>
      <c r="J38" s="60"/>
      <c r="K38" s="60"/>
      <c r="L38" s="60" t="str">
        <f t="shared" si="3"/>
        <v>인게임기능</v>
      </c>
    </row>
    <row r="39" spans="1:12" ht="24" x14ac:dyDescent="0.2">
      <c r="A39" s="60">
        <f t="shared" si="4"/>
        <v>38</v>
      </c>
      <c r="B39" s="62"/>
      <c r="C39" s="76"/>
      <c r="D39" s="59"/>
      <c r="E39" s="60" t="s">
        <v>71</v>
      </c>
      <c r="F39" s="60" t="s">
        <v>225</v>
      </c>
      <c r="G39" s="60" t="s">
        <v>300</v>
      </c>
      <c r="H39" s="60" t="s">
        <v>76</v>
      </c>
      <c r="I39" s="61" t="s">
        <v>78</v>
      </c>
      <c r="J39" s="60"/>
      <c r="K39" s="60"/>
      <c r="L39" s="60" t="str">
        <f t="shared" si="3"/>
        <v>인게임기능</v>
      </c>
    </row>
    <row r="40" spans="1:12" ht="24" x14ac:dyDescent="0.2">
      <c r="A40" s="60">
        <f t="shared" si="4"/>
        <v>39</v>
      </c>
      <c r="B40" s="62"/>
      <c r="C40" s="76"/>
      <c r="D40" s="59"/>
      <c r="E40" s="60" t="s">
        <v>72</v>
      </c>
      <c r="F40" s="60" t="s">
        <v>225</v>
      </c>
      <c r="G40" s="60" t="s">
        <v>301</v>
      </c>
      <c r="H40" s="60" t="s">
        <v>77</v>
      </c>
      <c r="I40" s="61" t="s">
        <v>78</v>
      </c>
      <c r="J40" s="60"/>
      <c r="K40" s="60"/>
      <c r="L40" s="60" t="str">
        <f t="shared" si="3"/>
        <v>인게임기능</v>
      </c>
    </row>
    <row r="41" spans="1:12" ht="24" x14ac:dyDescent="0.2">
      <c r="A41" s="60">
        <f t="shared" si="4"/>
        <v>40</v>
      </c>
      <c r="B41" s="62"/>
      <c r="C41" s="76"/>
      <c r="D41" s="77" t="s">
        <v>229</v>
      </c>
      <c r="E41" s="60" t="s">
        <v>139</v>
      </c>
      <c r="F41" s="60" t="s">
        <v>196</v>
      </c>
      <c r="G41" s="60" t="s">
        <v>230</v>
      </c>
      <c r="H41" s="60" t="s">
        <v>143</v>
      </c>
      <c r="I41" s="61" t="s">
        <v>78</v>
      </c>
      <c r="J41" s="60"/>
      <c r="K41" s="60"/>
      <c r="L41" s="60" t="str">
        <f t="shared" si="3"/>
        <v>인게임기능</v>
      </c>
    </row>
    <row r="42" spans="1:12" ht="24" x14ac:dyDescent="0.2">
      <c r="A42" s="60">
        <f t="shared" si="4"/>
        <v>41</v>
      </c>
      <c r="B42" s="62"/>
      <c r="C42" s="76"/>
      <c r="D42" s="76"/>
      <c r="E42" s="60" t="s">
        <v>140</v>
      </c>
      <c r="F42" s="60" t="s">
        <v>196</v>
      </c>
      <c r="G42" s="60" t="s">
        <v>231</v>
      </c>
      <c r="H42" s="60" t="s">
        <v>144</v>
      </c>
      <c r="I42" s="61" t="s">
        <v>78</v>
      </c>
      <c r="J42" s="60"/>
      <c r="K42" s="60"/>
      <c r="L42" s="60" t="str">
        <f t="shared" si="3"/>
        <v>인게임기능</v>
      </c>
    </row>
    <row r="43" spans="1:12" ht="24" x14ac:dyDescent="0.2">
      <c r="A43" s="60">
        <f t="shared" si="4"/>
        <v>42</v>
      </c>
      <c r="B43" s="62"/>
      <c r="C43" s="76"/>
      <c r="D43" s="76"/>
      <c r="E43" s="60" t="s">
        <v>141</v>
      </c>
      <c r="F43" s="60" t="s">
        <v>196</v>
      </c>
      <c r="G43" s="60" t="s">
        <v>232</v>
      </c>
      <c r="H43" s="60" t="s">
        <v>145</v>
      </c>
      <c r="I43" s="61" t="s">
        <v>78</v>
      </c>
      <c r="J43" s="60"/>
      <c r="K43" s="60"/>
      <c r="L43" s="60" t="str">
        <f t="shared" si="3"/>
        <v>인게임기능</v>
      </c>
    </row>
    <row r="44" spans="1:12" ht="24" x14ac:dyDescent="0.2">
      <c r="A44" s="60">
        <f t="shared" si="4"/>
        <v>43</v>
      </c>
      <c r="B44" s="62"/>
      <c r="C44" s="76"/>
      <c r="D44" s="76"/>
      <c r="E44" s="60" t="s">
        <v>142</v>
      </c>
      <c r="F44" s="60" t="s">
        <v>196</v>
      </c>
      <c r="G44" s="60" t="s">
        <v>233</v>
      </c>
      <c r="H44" s="60" t="s">
        <v>146</v>
      </c>
      <c r="I44" s="61" t="s">
        <v>78</v>
      </c>
      <c r="J44" s="60"/>
      <c r="K44" s="60"/>
      <c r="L44" s="60" t="str">
        <f t="shared" si="3"/>
        <v>인게임기능</v>
      </c>
    </row>
    <row r="45" spans="1:12" ht="24" x14ac:dyDescent="0.2">
      <c r="A45" s="60">
        <f t="shared" si="4"/>
        <v>44</v>
      </c>
      <c r="B45" s="62"/>
      <c r="C45" s="76"/>
      <c r="D45" s="77" t="s">
        <v>83</v>
      </c>
      <c r="E45" s="60" t="s">
        <v>234</v>
      </c>
      <c r="F45" s="60" t="s">
        <v>196</v>
      </c>
      <c r="G45" s="60" t="s">
        <v>235</v>
      </c>
      <c r="H45" s="60" t="s">
        <v>122</v>
      </c>
      <c r="I45" s="61" t="s">
        <v>123</v>
      </c>
      <c r="J45" s="60"/>
      <c r="K45" s="60"/>
      <c r="L45" s="60" t="str">
        <f t="shared" si="3"/>
        <v>인게임기능</v>
      </c>
    </row>
    <row r="46" spans="1:12" ht="24" x14ac:dyDescent="0.2">
      <c r="A46" s="60">
        <f t="shared" si="4"/>
        <v>45</v>
      </c>
      <c r="B46" s="62"/>
      <c r="C46" s="76"/>
      <c r="D46" s="76"/>
      <c r="E46" s="60" t="s">
        <v>236</v>
      </c>
      <c r="F46" s="60" t="s">
        <v>196</v>
      </c>
      <c r="G46" s="60" t="s">
        <v>237</v>
      </c>
      <c r="H46" s="60" t="s">
        <v>124</v>
      </c>
      <c r="I46" s="61" t="s">
        <v>123</v>
      </c>
      <c r="J46" s="60"/>
      <c r="K46" s="60"/>
      <c r="L46" s="60" t="str">
        <f t="shared" si="3"/>
        <v>인게임기능</v>
      </c>
    </row>
    <row r="47" spans="1:12" ht="24" x14ac:dyDescent="0.2">
      <c r="A47" s="60">
        <f t="shared" si="4"/>
        <v>46</v>
      </c>
      <c r="B47" s="62"/>
      <c r="C47" s="76"/>
      <c r="D47" s="76"/>
      <c r="E47" s="60" t="s">
        <v>238</v>
      </c>
      <c r="F47" s="60" t="s">
        <v>196</v>
      </c>
      <c r="G47" s="60" t="s">
        <v>239</v>
      </c>
      <c r="H47" s="60" t="s">
        <v>125</v>
      </c>
      <c r="I47" s="61" t="s">
        <v>123</v>
      </c>
      <c r="J47" s="60"/>
      <c r="K47" s="60"/>
      <c r="L47" s="60" t="str">
        <f t="shared" si="3"/>
        <v>인게임기능</v>
      </c>
    </row>
    <row r="48" spans="1:12" ht="24" x14ac:dyDescent="0.2">
      <c r="A48" s="60">
        <f t="shared" si="4"/>
        <v>47</v>
      </c>
      <c r="B48" s="62"/>
      <c r="C48" s="76"/>
      <c r="D48" s="76"/>
      <c r="E48" s="60" t="s">
        <v>240</v>
      </c>
      <c r="F48" s="60" t="s">
        <v>196</v>
      </c>
      <c r="G48" s="60" t="s">
        <v>241</v>
      </c>
      <c r="H48" s="60" t="s">
        <v>126</v>
      </c>
      <c r="I48" s="61" t="s">
        <v>123</v>
      </c>
      <c r="J48" s="60"/>
      <c r="K48" s="60"/>
      <c r="L48" s="60" t="str">
        <f t="shared" si="3"/>
        <v>인게임기능</v>
      </c>
    </row>
    <row r="49" spans="1:12" ht="24" x14ac:dyDescent="0.2">
      <c r="A49" s="60">
        <f t="shared" si="4"/>
        <v>48</v>
      </c>
      <c r="B49" s="62"/>
      <c r="C49" s="76"/>
      <c r="D49" s="76"/>
      <c r="E49" s="60" t="s">
        <v>242</v>
      </c>
      <c r="F49" s="60" t="s">
        <v>196</v>
      </c>
      <c r="G49" s="60" t="s">
        <v>243</v>
      </c>
      <c r="H49" s="60" t="s">
        <v>127</v>
      </c>
      <c r="I49" s="61" t="s">
        <v>123</v>
      </c>
      <c r="J49" s="60"/>
      <c r="K49" s="60"/>
      <c r="L49" s="60" t="str">
        <f t="shared" si="3"/>
        <v>인게임기능</v>
      </c>
    </row>
    <row r="50" spans="1:12" ht="24" x14ac:dyDescent="0.2">
      <c r="A50" s="60">
        <f t="shared" si="4"/>
        <v>49</v>
      </c>
      <c r="B50" s="62"/>
      <c r="C50" s="76"/>
      <c r="D50" s="72"/>
      <c r="E50" s="60" t="s">
        <v>244</v>
      </c>
      <c r="F50" s="60" t="s">
        <v>196</v>
      </c>
      <c r="G50" s="60" t="s">
        <v>245</v>
      </c>
      <c r="H50" s="60" t="s">
        <v>128</v>
      </c>
      <c r="I50" s="61" t="s">
        <v>123</v>
      </c>
      <c r="J50" s="60"/>
      <c r="K50" s="60"/>
      <c r="L50" s="60" t="str">
        <f t="shared" si="3"/>
        <v>인게임기능</v>
      </c>
    </row>
    <row r="51" spans="1:12" ht="24" x14ac:dyDescent="0.2">
      <c r="A51" s="60">
        <f>HYPERLINK("#'" &amp; (ROW()-1) &amp; "'!A1", ROW()-1)</f>
        <v>50</v>
      </c>
      <c r="B51" s="62"/>
      <c r="C51" s="76"/>
      <c r="D51" s="77" t="s">
        <v>147</v>
      </c>
      <c r="E51" s="60" t="s">
        <v>148</v>
      </c>
      <c r="F51" s="60" t="s">
        <v>196</v>
      </c>
      <c r="G51" s="60" t="s">
        <v>246</v>
      </c>
      <c r="H51" s="60" t="s">
        <v>149</v>
      </c>
      <c r="I51" s="61" t="s">
        <v>123</v>
      </c>
      <c r="J51" s="60"/>
      <c r="K51" s="60"/>
      <c r="L51" s="60" t="str">
        <f t="shared" si="3"/>
        <v>인게임기능</v>
      </c>
    </row>
    <row r="52" spans="1:12" ht="36" x14ac:dyDescent="0.2">
      <c r="A52" s="60">
        <f>HYPERLINK("#'" &amp; (ROW()-1) &amp; "'!A1", ROW()-1)</f>
        <v>51</v>
      </c>
      <c r="B52" s="62"/>
      <c r="C52" s="76"/>
      <c r="D52" s="76"/>
      <c r="E52" s="60" t="s">
        <v>247</v>
      </c>
      <c r="F52" s="60" t="s">
        <v>196</v>
      </c>
      <c r="G52" s="60" t="s">
        <v>248</v>
      </c>
      <c r="H52" s="60" t="s">
        <v>150</v>
      </c>
      <c r="I52" s="61" t="s">
        <v>123</v>
      </c>
      <c r="J52" s="60"/>
      <c r="K52" s="60"/>
      <c r="L52" s="60" t="str">
        <f t="shared" si="3"/>
        <v>인게임기능</v>
      </c>
    </row>
    <row r="53" spans="1:12" ht="48" x14ac:dyDescent="0.2">
      <c r="A53" s="60">
        <f>HYPERLINK("#'" &amp; (ROW()-1) &amp; "'!A1", ROW()-1)</f>
        <v>52</v>
      </c>
      <c r="B53" s="62"/>
      <c r="C53" s="76"/>
      <c r="D53" s="76"/>
      <c r="E53" s="60" t="s">
        <v>249</v>
      </c>
      <c r="F53" s="60" t="s">
        <v>196</v>
      </c>
      <c r="G53" s="60" t="s">
        <v>250</v>
      </c>
      <c r="H53" s="60" t="s">
        <v>151</v>
      </c>
      <c r="I53" s="61" t="s">
        <v>123</v>
      </c>
      <c r="J53" s="60"/>
      <c r="K53" s="60"/>
      <c r="L53" s="60" t="str">
        <f t="shared" si="3"/>
        <v>인게임기능</v>
      </c>
    </row>
    <row r="54" spans="1:12" ht="48" x14ac:dyDescent="0.2">
      <c r="A54" s="60">
        <f>HYPERLINK("#'" &amp; (ROW()-1) &amp; "'!A1", ROW()-1)</f>
        <v>53</v>
      </c>
      <c r="B54" s="62"/>
      <c r="C54" s="76"/>
      <c r="D54" s="76"/>
      <c r="E54" s="60" t="s">
        <v>251</v>
      </c>
      <c r="F54" s="60" t="s">
        <v>196</v>
      </c>
      <c r="G54" s="60" t="s">
        <v>252</v>
      </c>
      <c r="H54" s="60" t="s">
        <v>152</v>
      </c>
      <c r="I54" s="61" t="s">
        <v>123</v>
      </c>
      <c r="J54" s="60"/>
      <c r="K54" s="60"/>
      <c r="L54" s="60" t="str">
        <f t="shared" si="3"/>
        <v>인게임기능</v>
      </c>
    </row>
    <row r="55" spans="1:12" ht="48" x14ac:dyDescent="0.2">
      <c r="A55" s="60">
        <f>HYPERLINK("#'" &amp; (ROW()-1) &amp; "'!A1", ROW()-1)</f>
        <v>54</v>
      </c>
      <c r="B55" s="62"/>
      <c r="C55" s="76"/>
      <c r="D55" s="76"/>
      <c r="E55" s="60" t="s">
        <v>253</v>
      </c>
      <c r="F55" s="60" t="s">
        <v>196</v>
      </c>
      <c r="G55" s="60" t="s">
        <v>254</v>
      </c>
      <c r="H55" s="60" t="s">
        <v>153</v>
      </c>
      <c r="I55" s="61" t="s">
        <v>123</v>
      </c>
      <c r="J55" s="60"/>
      <c r="K55" s="60"/>
      <c r="L55" s="60" t="str">
        <f t="shared" si="3"/>
        <v>인게임기능</v>
      </c>
    </row>
    <row r="56" spans="1:12" ht="48" x14ac:dyDescent="0.2">
      <c r="A56" s="60">
        <f>HYPERLINK("#'" &amp; (ROW()-1) &amp; "'!A1", ROW()-1)</f>
        <v>55</v>
      </c>
      <c r="B56" s="62"/>
      <c r="C56" s="76"/>
      <c r="D56" s="72"/>
      <c r="E56" s="60" t="s">
        <v>255</v>
      </c>
      <c r="F56" s="60" t="s">
        <v>196</v>
      </c>
      <c r="G56" s="60" t="s">
        <v>256</v>
      </c>
      <c r="H56" s="60" t="s">
        <v>154</v>
      </c>
      <c r="I56" s="61" t="s">
        <v>123</v>
      </c>
      <c r="J56" s="60"/>
      <c r="K56" s="60"/>
      <c r="L56" s="60" t="str">
        <f t="shared" si="3"/>
        <v>인게임기능</v>
      </c>
    </row>
    <row r="57" spans="1:12" ht="24" x14ac:dyDescent="0.2">
      <c r="A57" s="60">
        <f>HYPERLINK("#'" &amp; (ROW()-1) &amp; "'!A1", ROW()-1)</f>
        <v>56</v>
      </c>
      <c r="B57" s="62"/>
      <c r="C57" s="76"/>
      <c r="D57" s="77" t="s">
        <v>155</v>
      </c>
      <c r="E57" s="60" t="s">
        <v>257</v>
      </c>
      <c r="F57" s="60" t="s">
        <v>196</v>
      </c>
      <c r="G57" s="60" t="s">
        <v>258</v>
      </c>
      <c r="H57" s="60" t="s">
        <v>156</v>
      </c>
      <c r="I57" s="61" t="s">
        <v>123</v>
      </c>
      <c r="J57" s="60"/>
      <c r="K57" s="60"/>
      <c r="L57" s="60" t="str">
        <f t="shared" si="3"/>
        <v>인게임기능</v>
      </c>
    </row>
    <row r="58" spans="1:12" ht="24" x14ac:dyDescent="0.2">
      <c r="A58" s="60">
        <f>HYPERLINK("#'" &amp; (ROW()-1) &amp; "'!A1", ROW()-1)</f>
        <v>57</v>
      </c>
      <c r="B58" s="62"/>
      <c r="C58" s="76"/>
      <c r="D58" s="76"/>
      <c r="E58" s="60" t="s">
        <v>259</v>
      </c>
      <c r="F58" s="60" t="s">
        <v>196</v>
      </c>
      <c r="G58" s="60" t="s">
        <v>260</v>
      </c>
      <c r="H58" s="60" t="s">
        <v>157</v>
      </c>
      <c r="I58" s="61" t="s">
        <v>123</v>
      </c>
      <c r="J58" s="60"/>
      <c r="K58" s="60"/>
      <c r="L58" s="60" t="str">
        <f t="shared" si="3"/>
        <v>인게임기능</v>
      </c>
    </row>
    <row r="59" spans="1:12" ht="36" x14ac:dyDescent="0.2">
      <c r="A59" s="60">
        <f>HYPERLINK("#'" &amp; (ROW()-1) &amp; "'!A1", ROW()-1)</f>
        <v>58</v>
      </c>
      <c r="B59" s="62"/>
      <c r="C59" s="76"/>
      <c r="D59" s="76"/>
      <c r="E59" s="60" t="s">
        <v>261</v>
      </c>
      <c r="F59" s="60" t="s">
        <v>196</v>
      </c>
      <c r="G59" s="60" t="s">
        <v>262</v>
      </c>
      <c r="H59" s="60" t="s">
        <v>158</v>
      </c>
      <c r="I59" s="61" t="s">
        <v>123</v>
      </c>
      <c r="J59" s="60"/>
      <c r="K59" s="60"/>
      <c r="L59" s="60" t="str">
        <f t="shared" si="3"/>
        <v>인게임기능</v>
      </c>
    </row>
    <row r="60" spans="1:12" ht="36" x14ac:dyDescent="0.2">
      <c r="A60" s="60">
        <f>HYPERLINK("#'" &amp; (ROW()-1) &amp; "'!A1", ROW()-1)</f>
        <v>59</v>
      </c>
      <c r="B60" s="62"/>
      <c r="C60" s="76"/>
      <c r="D60" s="72"/>
      <c r="E60" s="60" t="s">
        <v>263</v>
      </c>
      <c r="F60" s="60" t="s">
        <v>196</v>
      </c>
      <c r="G60" s="60" t="s">
        <v>264</v>
      </c>
      <c r="H60" s="60" t="s">
        <v>159</v>
      </c>
      <c r="I60" s="61" t="s">
        <v>123</v>
      </c>
      <c r="J60" s="60"/>
      <c r="K60" s="60"/>
      <c r="L60" s="60" t="str">
        <f t="shared" si="3"/>
        <v>인게임기능</v>
      </c>
    </row>
    <row r="61" spans="1:12" ht="24" x14ac:dyDescent="0.2">
      <c r="A61" s="60">
        <f>HYPERLINK("#'" &amp; (ROW()-1) &amp; "'!A1", ROW()-1)</f>
        <v>60</v>
      </c>
      <c r="B61" s="62"/>
      <c r="C61" s="76"/>
      <c r="D61" s="77" t="s">
        <v>160</v>
      </c>
      <c r="E61" s="60" t="s">
        <v>161</v>
      </c>
      <c r="F61" s="60" t="s">
        <v>196</v>
      </c>
      <c r="G61" s="60" t="s">
        <v>265</v>
      </c>
      <c r="H61" s="60" t="s">
        <v>162</v>
      </c>
      <c r="I61" s="61" t="s">
        <v>123</v>
      </c>
      <c r="J61" s="60"/>
      <c r="K61" s="60"/>
      <c r="L61" s="60" t="str">
        <f t="shared" si="3"/>
        <v>인게임기능</v>
      </c>
    </row>
    <row r="62" spans="1:12" ht="24" x14ac:dyDescent="0.2">
      <c r="A62" s="60">
        <f>HYPERLINK("#'" &amp; (ROW()-1) &amp; "'!A1", ROW()-1)</f>
        <v>61</v>
      </c>
      <c r="B62" s="62"/>
      <c r="C62" s="76"/>
      <c r="D62" s="76"/>
      <c r="E62" s="60" t="s">
        <v>266</v>
      </c>
      <c r="F62" s="60" t="s">
        <v>196</v>
      </c>
      <c r="G62" s="60" t="s">
        <v>267</v>
      </c>
      <c r="H62" s="60" t="s">
        <v>163</v>
      </c>
      <c r="I62" s="61" t="s">
        <v>123</v>
      </c>
      <c r="J62" s="60"/>
      <c r="K62" s="60"/>
      <c r="L62" s="60" t="str">
        <f t="shared" si="3"/>
        <v>인게임기능</v>
      </c>
    </row>
    <row r="63" spans="1:12" ht="24" x14ac:dyDescent="0.2">
      <c r="A63" s="60">
        <f>HYPERLINK("#'" &amp; (ROW()-1) &amp; "'!A1", ROW()-1)</f>
        <v>62</v>
      </c>
      <c r="B63" s="62"/>
      <c r="C63" s="76"/>
      <c r="D63" s="76"/>
      <c r="E63" s="60" t="s">
        <v>268</v>
      </c>
      <c r="F63" s="60" t="s">
        <v>196</v>
      </c>
      <c r="G63" s="60" t="s">
        <v>269</v>
      </c>
      <c r="H63" s="60" t="s">
        <v>164</v>
      </c>
      <c r="I63" s="61" t="s">
        <v>123</v>
      </c>
      <c r="J63" s="60"/>
      <c r="K63" s="60"/>
      <c r="L63" s="60" t="str">
        <f t="shared" si="3"/>
        <v>인게임기능</v>
      </c>
    </row>
    <row r="64" spans="1:12" ht="36" x14ac:dyDescent="0.2">
      <c r="A64" s="60">
        <f>HYPERLINK("#'" &amp; (ROW()-1) &amp; "'!A1", ROW()-1)</f>
        <v>63</v>
      </c>
      <c r="B64" s="62"/>
      <c r="C64" s="76"/>
      <c r="D64" s="76"/>
      <c r="E64" s="60" t="s">
        <v>270</v>
      </c>
      <c r="F64" s="60" t="s">
        <v>196</v>
      </c>
      <c r="G64" s="60" t="s">
        <v>271</v>
      </c>
      <c r="H64" s="60" t="s">
        <v>165</v>
      </c>
      <c r="I64" s="61" t="s">
        <v>123</v>
      </c>
      <c r="J64" s="60"/>
      <c r="K64" s="60"/>
      <c r="L64" s="60" t="str">
        <f t="shared" si="3"/>
        <v>인게임기능</v>
      </c>
    </row>
    <row r="65" spans="1:12" ht="36" x14ac:dyDescent="0.2">
      <c r="A65" s="60">
        <f>HYPERLINK("#'" &amp; (ROW()-1) &amp; "'!A1", ROW()-1)</f>
        <v>64</v>
      </c>
      <c r="B65" s="62"/>
      <c r="C65" s="76"/>
      <c r="D65" s="72"/>
      <c r="E65" s="60" t="s">
        <v>272</v>
      </c>
      <c r="F65" s="60" t="s">
        <v>196</v>
      </c>
      <c r="G65" s="60" t="s">
        <v>273</v>
      </c>
      <c r="H65" s="60" t="s">
        <v>166</v>
      </c>
      <c r="I65" s="61" t="s">
        <v>123</v>
      </c>
      <c r="J65" s="60"/>
      <c r="K65" s="60"/>
      <c r="L65" s="60" t="str">
        <f t="shared" si="3"/>
        <v>인게임기능</v>
      </c>
    </row>
    <row r="66" spans="1:12" ht="24" x14ac:dyDescent="0.2">
      <c r="A66" s="60">
        <f>HYPERLINK("#'" &amp; (ROW()-1) &amp; "'!A1", ROW()-1)</f>
        <v>65</v>
      </c>
      <c r="B66" s="62"/>
      <c r="C66" s="76"/>
      <c r="D66" s="78" t="s">
        <v>100</v>
      </c>
      <c r="E66" s="60" t="s">
        <v>104</v>
      </c>
      <c r="F66" s="60" t="s">
        <v>196</v>
      </c>
      <c r="G66" s="60" t="s">
        <v>298</v>
      </c>
      <c r="H66" s="60" t="s">
        <v>105</v>
      </c>
      <c r="I66" s="61" t="s">
        <v>78</v>
      </c>
      <c r="J66" s="60"/>
      <c r="K66" s="60"/>
      <c r="L66" s="60" t="str">
        <f t="shared" si="3"/>
        <v>인게임기능</v>
      </c>
    </row>
    <row r="67" spans="1:12" ht="36" x14ac:dyDescent="0.2">
      <c r="A67" s="60">
        <f t="shared" si="4"/>
        <v>66</v>
      </c>
      <c r="B67" s="62"/>
      <c r="C67" s="76"/>
      <c r="D67" s="77" t="s">
        <v>84</v>
      </c>
      <c r="E67" s="60" t="s">
        <v>97</v>
      </c>
      <c r="F67" s="60" t="s">
        <v>196</v>
      </c>
      <c r="G67" s="60" t="s">
        <v>297</v>
      </c>
      <c r="H67" s="60" t="s">
        <v>89</v>
      </c>
      <c r="I67" s="61" t="s">
        <v>78</v>
      </c>
      <c r="J67" s="60"/>
      <c r="K67" s="60"/>
      <c r="L67" s="60" t="str">
        <f t="shared" si="3"/>
        <v>인게임기능</v>
      </c>
    </row>
    <row r="68" spans="1:12" ht="36" x14ac:dyDescent="0.2">
      <c r="A68" s="60">
        <f t="shared" si="4"/>
        <v>67</v>
      </c>
      <c r="B68" s="62"/>
      <c r="C68" s="72"/>
      <c r="D68" s="72"/>
      <c r="E68" s="74" t="s">
        <v>98</v>
      </c>
      <c r="F68" s="74" t="s">
        <v>196</v>
      </c>
      <c r="G68" s="74" t="s">
        <v>296</v>
      </c>
      <c r="H68" s="74" t="s">
        <v>99</v>
      </c>
      <c r="I68" s="61" t="s">
        <v>79</v>
      </c>
      <c r="J68" s="60" t="s">
        <v>190</v>
      </c>
      <c r="K68" s="60"/>
      <c r="L68" s="60" t="str">
        <f t="shared" si="3"/>
        <v>인게임기능</v>
      </c>
    </row>
    <row r="69" spans="1:12" ht="36" x14ac:dyDescent="0.2">
      <c r="A69" s="60">
        <f t="shared" si="4"/>
        <v>68</v>
      </c>
      <c r="B69" s="62"/>
      <c r="C69" s="77" t="s">
        <v>86</v>
      </c>
      <c r="D69" s="77" t="s">
        <v>274</v>
      </c>
      <c r="E69" s="74" t="s">
        <v>129</v>
      </c>
      <c r="F69" s="74" t="s">
        <v>196</v>
      </c>
      <c r="G69" s="74" t="s">
        <v>275</v>
      </c>
      <c r="H69" s="74" t="s">
        <v>130</v>
      </c>
      <c r="I69" s="61" t="s">
        <v>78</v>
      </c>
      <c r="J69" s="60"/>
      <c r="K69" s="60"/>
      <c r="L69" s="60" t="str">
        <f t="shared" si="3"/>
        <v>인게임기능</v>
      </c>
    </row>
    <row r="70" spans="1:12" ht="36" x14ac:dyDescent="0.2">
      <c r="A70" s="60">
        <f t="shared" si="4"/>
        <v>69</v>
      </c>
      <c r="B70" s="62"/>
      <c r="C70" s="76"/>
      <c r="D70" s="72"/>
      <c r="E70" s="74" t="s">
        <v>81</v>
      </c>
      <c r="F70" s="74" t="s">
        <v>196</v>
      </c>
      <c r="G70" s="74" t="s">
        <v>295</v>
      </c>
      <c r="H70" s="74" t="s">
        <v>82</v>
      </c>
      <c r="I70" s="61" t="s">
        <v>79</v>
      </c>
      <c r="J70" s="60" t="s">
        <v>190</v>
      </c>
      <c r="K70" s="60"/>
      <c r="L70" s="60" t="str">
        <f>IF(B70="",L37,B70)</f>
        <v>인게임기능</v>
      </c>
    </row>
    <row r="71" spans="1:12" ht="24" x14ac:dyDescent="0.2">
      <c r="A71" s="60">
        <f t="shared" si="4"/>
        <v>70</v>
      </c>
      <c r="B71" s="62"/>
      <c r="C71" s="76"/>
      <c r="D71" s="78" t="s">
        <v>101</v>
      </c>
      <c r="E71" s="60" t="s">
        <v>102</v>
      </c>
      <c r="F71" s="60" t="s">
        <v>196</v>
      </c>
      <c r="G71" s="60" t="s">
        <v>294</v>
      </c>
      <c r="H71" s="60" t="s">
        <v>103</v>
      </c>
      <c r="I71" s="61" t="s">
        <v>78</v>
      </c>
      <c r="J71" s="60"/>
      <c r="K71" s="60"/>
      <c r="L71" s="60" t="str">
        <f>IF(B71="",L38,B71)</f>
        <v>인게임기능</v>
      </c>
    </row>
    <row r="72" spans="1:12" ht="24" x14ac:dyDescent="0.2">
      <c r="A72" s="60">
        <f t="shared" si="4"/>
        <v>71</v>
      </c>
      <c r="B72" s="62"/>
      <c r="C72" s="72"/>
      <c r="D72" s="78" t="s">
        <v>276</v>
      </c>
      <c r="E72" s="60" t="s">
        <v>95</v>
      </c>
      <c r="F72" s="60" t="s">
        <v>196</v>
      </c>
      <c r="G72" s="60" t="s">
        <v>277</v>
      </c>
      <c r="H72" s="60" t="s">
        <v>96</v>
      </c>
      <c r="I72" s="61" t="s">
        <v>78</v>
      </c>
      <c r="J72" s="60"/>
      <c r="K72" s="60"/>
      <c r="L72" s="60" t="str">
        <f>IF(B72="",L40,B72)</f>
        <v>인게임기능</v>
      </c>
    </row>
    <row r="73" spans="1:12" ht="24" x14ac:dyDescent="0.2">
      <c r="A73" s="60">
        <f t="shared" si="4"/>
        <v>72</v>
      </c>
      <c r="B73" s="62"/>
      <c r="C73" s="59" t="s">
        <v>131</v>
      </c>
      <c r="D73" s="79" t="s">
        <v>132</v>
      </c>
      <c r="E73" s="60" t="s">
        <v>133</v>
      </c>
      <c r="F73" s="60" t="s">
        <v>196</v>
      </c>
      <c r="G73" s="60" t="s">
        <v>278</v>
      </c>
      <c r="H73" s="60" t="s">
        <v>134</v>
      </c>
      <c r="I73" s="61" t="s">
        <v>78</v>
      </c>
      <c r="J73" s="60"/>
      <c r="K73" s="60"/>
      <c r="L73" s="60" t="str">
        <f>IF(B73="",L45,B73)</f>
        <v>인게임기능</v>
      </c>
    </row>
    <row r="74" spans="1:12" ht="36" x14ac:dyDescent="0.2">
      <c r="A74" s="60">
        <f t="shared" si="4"/>
        <v>73</v>
      </c>
      <c r="B74" s="62"/>
      <c r="C74" s="62"/>
      <c r="D74" s="80"/>
      <c r="E74" s="60" t="s">
        <v>135</v>
      </c>
      <c r="F74" s="60" t="s">
        <v>196</v>
      </c>
      <c r="G74" s="60" t="s">
        <v>293</v>
      </c>
      <c r="H74" s="60" t="s">
        <v>136</v>
      </c>
      <c r="I74" s="61" t="s">
        <v>78</v>
      </c>
      <c r="J74" s="60"/>
      <c r="K74" s="60"/>
      <c r="L74" s="60" t="str">
        <f>IF(B74="",L46,B74)</f>
        <v>인게임기능</v>
      </c>
    </row>
    <row r="75" spans="1:12" ht="24" x14ac:dyDescent="0.2">
      <c r="A75" s="60">
        <f t="shared" si="4"/>
        <v>74</v>
      </c>
      <c r="B75" s="62"/>
      <c r="C75" s="62"/>
      <c r="D75" s="81" t="s">
        <v>167</v>
      </c>
      <c r="E75" s="60" t="s">
        <v>279</v>
      </c>
      <c r="F75" s="60" t="s">
        <v>196</v>
      </c>
      <c r="G75" s="60" t="s">
        <v>280</v>
      </c>
      <c r="H75" s="60" t="s">
        <v>281</v>
      </c>
      <c r="I75" s="61" t="s">
        <v>78</v>
      </c>
      <c r="J75" s="60"/>
      <c r="K75" s="60"/>
      <c r="L75" s="60" t="str">
        <f t="shared" ref="L75:L81" si="5">IF(B75="",L47,B75)</f>
        <v>인게임기능</v>
      </c>
    </row>
    <row r="76" spans="1:12" x14ac:dyDescent="0.2">
      <c r="A76" s="60">
        <f t="shared" si="4"/>
        <v>75</v>
      </c>
      <c r="B76" s="62"/>
      <c r="C76" s="62"/>
      <c r="D76" s="80"/>
      <c r="E76" s="60" t="s">
        <v>282</v>
      </c>
      <c r="F76" s="60" t="s">
        <v>196</v>
      </c>
      <c r="G76" s="60" t="s">
        <v>283</v>
      </c>
      <c r="H76" s="60" t="s">
        <v>284</v>
      </c>
      <c r="I76" s="61" t="s">
        <v>78</v>
      </c>
      <c r="J76" s="60"/>
      <c r="K76" s="60"/>
      <c r="L76" s="60" t="str">
        <f t="shared" si="5"/>
        <v>인게임기능</v>
      </c>
    </row>
    <row r="77" spans="1:12" ht="24" x14ac:dyDescent="0.2">
      <c r="A77" s="60">
        <f t="shared" si="4"/>
        <v>76</v>
      </c>
      <c r="B77" s="62"/>
      <c r="C77" s="62"/>
      <c r="D77" s="77" t="s">
        <v>168</v>
      </c>
      <c r="E77" s="60" t="s">
        <v>285</v>
      </c>
      <c r="F77" s="60" t="s">
        <v>196</v>
      </c>
      <c r="G77" s="60" t="s">
        <v>288</v>
      </c>
      <c r="H77" s="60" t="s">
        <v>170</v>
      </c>
      <c r="I77" s="61" t="s">
        <v>78</v>
      </c>
      <c r="J77" s="60"/>
      <c r="K77" s="60"/>
      <c r="L77" s="60" t="str">
        <f t="shared" si="5"/>
        <v>인게임기능</v>
      </c>
    </row>
    <row r="78" spans="1:12" x14ac:dyDescent="0.2">
      <c r="A78" s="77">
        <f>HYPERLINK("#'" &amp; (ROW()-1) &amp; "'!A1", ROW()-1)</f>
        <v>77</v>
      </c>
      <c r="B78" s="62"/>
      <c r="C78" s="62"/>
      <c r="D78" s="76"/>
      <c r="E78" s="59" t="s">
        <v>286</v>
      </c>
      <c r="F78" s="77" t="s">
        <v>196</v>
      </c>
      <c r="G78" s="77" t="s">
        <v>289</v>
      </c>
      <c r="H78" s="77" t="s">
        <v>290</v>
      </c>
      <c r="I78" s="83" t="s">
        <v>78</v>
      </c>
      <c r="J78" s="77"/>
      <c r="K78" s="77"/>
      <c r="L78" s="77" t="str">
        <f t="shared" si="5"/>
        <v>인게임기능</v>
      </c>
    </row>
    <row r="79" spans="1:12" ht="32.25" customHeight="1" x14ac:dyDescent="0.2">
      <c r="A79" s="72"/>
      <c r="B79" s="62"/>
      <c r="C79" s="62"/>
      <c r="D79" s="72"/>
      <c r="E79" s="62"/>
      <c r="F79" s="72"/>
      <c r="G79" s="72"/>
      <c r="H79" s="72"/>
      <c r="I79" s="84"/>
      <c r="J79" s="72"/>
      <c r="K79" s="72"/>
      <c r="L79" s="72"/>
    </row>
    <row r="80" spans="1:12" ht="24" x14ac:dyDescent="0.25">
      <c r="A80" s="60">
        <f>HYPERLINK("#'" &amp; (ROW()-1) &amp; "'!A1", ROW()-1)</f>
        <v>79</v>
      </c>
      <c r="B80" s="62"/>
      <c r="C80" s="62"/>
      <c r="D80" s="77" t="s">
        <v>169</v>
      </c>
      <c r="E80" s="82" t="s">
        <v>312</v>
      </c>
      <c r="F80" s="60" t="s">
        <v>196</v>
      </c>
      <c r="G80" s="60" t="s">
        <v>313</v>
      </c>
      <c r="H80" s="60" t="s">
        <v>314</v>
      </c>
      <c r="I80" s="61" t="s">
        <v>78</v>
      </c>
      <c r="J80" s="60"/>
      <c r="K80" s="60"/>
      <c r="L80" s="60" t="str">
        <f t="shared" si="5"/>
        <v>인게임기능</v>
      </c>
    </row>
    <row r="81" spans="1:12" ht="24" x14ac:dyDescent="0.2">
      <c r="A81" s="60">
        <f>HYPERLINK("#'" &amp; (ROW()-1) &amp; "'!A1", ROW()-1)</f>
        <v>80</v>
      </c>
      <c r="B81" s="62"/>
      <c r="C81" s="62"/>
      <c r="D81" s="72"/>
      <c r="E81" s="78" t="s">
        <v>287</v>
      </c>
      <c r="F81" s="78" t="s">
        <v>196</v>
      </c>
      <c r="G81" s="78" t="s">
        <v>291</v>
      </c>
      <c r="H81" s="78" t="s">
        <v>292</v>
      </c>
      <c r="I81" s="61" t="s">
        <v>78</v>
      </c>
      <c r="J81" s="78"/>
      <c r="K81" s="78"/>
      <c r="L81" s="60" t="str">
        <f t="shared" si="5"/>
        <v>인게임기능</v>
      </c>
    </row>
    <row r="82" spans="1:12" ht="12.75" customHeight="1" x14ac:dyDescent="0.2">
      <c r="E82" s="85"/>
      <c r="F82" s="85"/>
      <c r="G82" s="85"/>
      <c r="H82" s="85"/>
      <c r="I82" s="86"/>
      <c r="J82" s="85"/>
      <c r="K82" s="85"/>
      <c r="L82" s="85"/>
    </row>
  </sheetData>
  <mergeCells count="35">
    <mergeCell ref="I78:I79"/>
    <mergeCell ref="J78:J79"/>
    <mergeCell ref="K78:K79"/>
    <mergeCell ref="L78:L79"/>
    <mergeCell ref="A78:A79"/>
    <mergeCell ref="D77:D79"/>
    <mergeCell ref="D80:D81"/>
    <mergeCell ref="F78:F79"/>
    <mergeCell ref="G78:G79"/>
    <mergeCell ref="H78:H79"/>
    <mergeCell ref="C69:C72"/>
    <mergeCell ref="D69:D70"/>
    <mergeCell ref="B6:B13"/>
    <mergeCell ref="E78:E79"/>
    <mergeCell ref="B2:B5"/>
    <mergeCell ref="C3:C5"/>
    <mergeCell ref="C6:C13"/>
    <mergeCell ref="B14:B81"/>
    <mergeCell ref="C73:C81"/>
    <mergeCell ref="D14:D21"/>
    <mergeCell ref="D22:D26"/>
    <mergeCell ref="D9:D10"/>
    <mergeCell ref="D6:D8"/>
    <mergeCell ref="D75:D76"/>
    <mergeCell ref="D73:D74"/>
    <mergeCell ref="D45:D50"/>
    <mergeCell ref="D34:D40"/>
    <mergeCell ref="D11:D13"/>
    <mergeCell ref="C14:C68"/>
    <mergeCell ref="D67:D68"/>
    <mergeCell ref="D27:D33"/>
    <mergeCell ref="D41:D44"/>
    <mergeCell ref="D51:D56"/>
    <mergeCell ref="D57:D60"/>
    <mergeCell ref="D61:D65"/>
  </mergeCells>
  <phoneticPr fontId="5" type="noConversion"/>
  <conditionalFormatting sqref="A1:G1">
    <cfRule type="containsBlanks" dxfId="87" priority="133">
      <formula>LEN(TRIM(A1))=0</formula>
    </cfRule>
    <cfRule type="containsText" dxfId="86" priority="136" operator="containsText" text="Pass">
      <formula>NOT(ISERROR(SEARCH(("Pass"),(A1))))</formula>
    </cfRule>
    <cfRule type="containsText" dxfId="85" priority="140" operator="containsText" text="Fail">
      <formula>NOT(ISERROR(SEARCH(("Fail"),(A1))))</formula>
    </cfRule>
    <cfRule type="containsText" dxfId="84" priority="144" operator="containsText" text="Block">
      <formula>NOT(ISERROR(SEARCH(("Block"),(A1))))</formula>
    </cfRule>
    <cfRule type="containsText" dxfId="83" priority="148" operator="containsText" text="N/A">
      <formula>NOT(ISERROR(SEARCH(("N/A"),(A1))))</formula>
    </cfRule>
    <cfRule type="containsText" dxfId="82" priority="152" operator="containsText" text="N/T">
      <formula>NOT(ISERROR(SEARCH(("N/T"),(A1))))</formula>
    </cfRule>
  </conditionalFormatting>
  <conditionalFormatting sqref="I1">
    <cfRule type="containsText" dxfId="81" priority="139" operator="containsText" text="Pass">
      <formula>NOT(ISERROR(SEARCH(("Pass"),(I1))))</formula>
    </cfRule>
    <cfRule type="containsText" dxfId="80" priority="143" operator="containsText" text="Fail">
      <formula>NOT(ISERROR(SEARCH(("Fail"),(I1))))</formula>
    </cfRule>
    <cfRule type="containsText" dxfId="79" priority="147" operator="containsText" text="Block">
      <formula>NOT(ISERROR(SEARCH(("Block"),(I1))))</formula>
    </cfRule>
    <cfRule type="containsText" dxfId="78" priority="151" operator="containsText" text="N/A">
      <formula>NOT(ISERROR(SEARCH(("N/A"),(I1))))</formula>
    </cfRule>
  </conditionalFormatting>
  <conditionalFormatting sqref="I66 I31:I44 I1:I12">
    <cfRule type="containsBlanks" dxfId="77" priority="134">
      <formula>LEN(TRIM(I1))=0</formula>
    </cfRule>
    <cfRule type="containsText" dxfId="76" priority="153" operator="containsText" text="N/T">
      <formula>NOT(ISERROR(SEARCH(("N/T"),(I1))))</formula>
    </cfRule>
  </conditionalFormatting>
  <conditionalFormatting sqref="I66 I31:I44 I2:I12">
    <cfRule type="containsText" dxfId="75" priority="137" operator="containsText" text="Pass">
      <formula>NOT(ISERROR(SEARCH(("Pass"),(I2))))</formula>
    </cfRule>
    <cfRule type="containsText" dxfId="74" priority="141" operator="containsText" text="Fail">
      <formula>NOT(ISERROR(SEARCH(("Fail"),(I2))))</formula>
    </cfRule>
    <cfRule type="containsText" dxfId="73" priority="145" operator="containsText" text="Block">
      <formula>NOT(ISERROR(SEARCH(("Block"),(I2))))</formula>
    </cfRule>
    <cfRule type="containsText" dxfId="72" priority="149" operator="containsText" text="N/A">
      <formula>NOT(ISERROR(SEARCH(("N/A"),(I2))))</formula>
    </cfRule>
  </conditionalFormatting>
  <conditionalFormatting sqref="J1:L1">
    <cfRule type="containsBlanks" dxfId="71" priority="135">
      <formula>LEN(TRIM(J1))=0</formula>
    </cfRule>
    <cfRule type="containsText" dxfId="70" priority="138" operator="containsText" text="Pass">
      <formula>NOT(ISERROR(SEARCH(("Pass"),(J1))))</formula>
    </cfRule>
    <cfRule type="containsText" dxfId="69" priority="142" operator="containsText" text="Fail">
      <formula>NOT(ISERROR(SEARCH(("Fail"),(J1))))</formula>
    </cfRule>
    <cfRule type="containsText" dxfId="68" priority="146" operator="containsText" text="Block">
      <formula>NOT(ISERROR(SEARCH(("Block"),(J1))))</formula>
    </cfRule>
    <cfRule type="containsText" dxfId="67" priority="150" operator="containsText" text="N/A">
      <formula>NOT(ISERROR(SEARCH(("N/A"),(J1))))</formula>
    </cfRule>
    <cfRule type="containsText" dxfId="66" priority="154" operator="containsText" text="N/T">
      <formula>NOT(ISERROR(SEARCH(("N/T"),(J1))))</formula>
    </cfRule>
  </conditionalFormatting>
  <conditionalFormatting sqref="I14:I26">
    <cfRule type="containsBlanks" dxfId="65" priority="91">
      <formula>LEN(TRIM(I14))=0</formula>
    </cfRule>
    <cfRule type="containsText" dxfId="64" priority="96" operator="containsText" text="N/T">
      <formula>NOT(ISERROR(SEARCH(("N/T"),(I14))))</formula>
    </cfRule>
  </conditionalFormatting>
  <conditionalFormatting sqref="I14:I26">
    <cfRule type="containsText" dxfId="63" priority="92" operator="containsText" text="Pass">
      <formula>NOT(ISERROR(SEARCH(("Pass"),(I14))))</formula>
    </cfRule>
    <cfRule type="containsText" dxfId="62" priority="93" operator="containsText" text="Fail">
      <formula>NOT(ISERROR(SEARCH(("Fail"),(I14))))</formula>
    </cfRule>
    <cfRule type="containsText" dxfId="61" priority="94" operator="containsText" text="Block">
      <formula>NOT(ISERROR(SEARCH(("Block"),(I14))))</formula>
    </cfRule>
    <cfRule type="containsText" dxfId="60" priority="95" operator="containsText" text="N/A">
      <formula>NOT(ISERROR(SEARCH(("N/A"),(I14))))</formula>
    </cfRule>
  </conditionalFormatting>
  <conditionalFormatting sqref="I73">
    <cfRule type="containsBlanks" dxfId="59" priority="67">
      <formula>LEN(TRIM(I73))=0</formula>
    </cfRule>
    <cfRule type="containsText" dxfId="58" priority="72" operator="containsText" text="N/T">
      <formula>NOT(ISERROR(SEARCH(("N/T"),(I73))))</formula>
    </cfRule>
  </conditionalFormatting>
  <conditionalFormatting sqref="I73">
    <cfRule type="containsText" dxfId="57" priority="68" operator="containsText" text="Pass">
      <formula>NOT(ISERROR(SEARCH(("Pass"),(I73))))</formula>
    </cfRule>
    <cfRule type="containsText" dxfId="56" priority="69" operator="containsText" text="Fail">
      <formula>NOT(ISERROR(SEARCH(("Fail"),(I73))))</formula>
    </cfRule>
    <cfRule type="containsText" dxfId="55" priority="70" operator="containsText" text="Block">
      <formula>NOT(ISERROR(SEARCH(("Block"),(I73))))</formula>
    </cfRule>
    <cfRule type="containsText" dxfId="54" priority="71" operator="containsText" text="N/A">
      <formula>NOT(ISERROR(SEARCH(("N/A"),(I73))))</formula>
    </cfRule>
  </conditionalFormatting>
  <conditionalFormatting sqref="I70:I71">
    <cfRule type="containsBlanks" dxfId="53" priority="61">
      <formula>LEN(TRIM(I70))=0</formula>
    </cfRule>
    <cfRule type="containsText" dxfId="52" priority="66" operator="containsText" text="N/T">
      <formula>NOT(ISERROR(SEARCH(("N/T"),(I70))))</formula>
    </cfRule>
  </conditionalFormatting>
  <conditionalFormatting sqref="I70:I71">
    <cfRule type="containsText" dxfId="51" priority="62" operator="containsText" text="Pass">
      <formula>NOT(ISERROR(SEARCH(("Pass"),(I70))))</formula>
    </cfRule>
    <cfRule type="containsText" dxfId="50" priority="63" operator="containsText" text="Fail">
      <formula>NOT(ISERROR(SEARCH(("Fail"),(I70))))</formula>
    </cfRule>
    <cfRule type="containsText" dxfId="49" priority="64" operator="containsText" text="Block">
      <formula>NOT(ISERROR(SEARCH(("Block"),(I70))))</formula>
    </cfRule>
    <cfRule type="containsText" dxfId="48" priority="65" operator="containsText" text="N/A">
      <formula>NOT(ISERROR(SEARCH(("N/A"),(I70))))</formula>
    </cfRule>
  </conditionalFormatting>
  <conditionalFormatting sqref="I13">
    <cfRule type="containsBlanks" dxfId="47" priority="55">
      <formula>LEN(TRIM(I13))=0</formula>
    </cfRule>
    <cfRule type="containsText" dxfId="46" priority="60" operator="containsText" text="N/T">
      <formula>NOT(ISERROR(SEARCH(("N/T"),(I13))))</formula>
    </cfRule>
  </conditionalFormatting>
  <conditionalFormatting sqref="I13">
    <cfRule type="containsText" dxfId="45" priority="56" operator="containsText" text="Pass">
      <formula>NOT(ISERROR(SEARCH(("Pass"),(I13))))</formula>
    </cfRule>
    <cfRule type="containsText" dxfId="44" priority="57" operator="containsText" text="Fail">
      <formula>NOT(ISERROR(SEARCH(("Fail"),(I13))))</formula>
    </cfRule>
    <cfRule type="containsText" dxfId="43" priority="58" operator="containsText" text="Block">
      <formula>NOT(ISERROR(SEARCH(("Block"),(I13))))</formula>
    </cfRule>
    <cfRule type="containsText" dxfId="42" priority="59" operator="containsText" text="N/A">
      <formula>NOT(ISERROR(SEARCH(("N/A"),(I13))))</formula>
    </cfRule>
  </conditionalFormatting>
  <conditionalFormatting sqref="I27:I29">
    <cfRule type="containsBlanks" dxfId="41" priority="43">
      <formula>LEN(TRIM(I27))=0</formula>
    </cfRule>
    <cfRule type="containsText" dxfId="40" priority="48" operator="containsText" text="N/T">
      <formula>NOT(ISERROR(SEARCH(("N/T"),(I27))))</formula>
    </cfRule>
  </conditionalFormatting>
  <conditionalFormatting sqref="I27:I29">
    <cfRule type="containsText" dxfId="39" priority="44" operator="containsText" text="Pass">
      <formula>NOT(ISERROR(SEARCH(("Pass"),(I27))))</formula>
    </cfRule>
    <cfRule type="containsText" dxfId="38" priority="45" operator="containsText" text="Fail">
      <formula>NOT(ISERROR(SEARCH(("Fail"),(I27))))</formula>
    </cfRule>
    <cfRule type="containsText" dxfId="37" priority="46" operator="containsText" text="Block">
      <formula>NOT(ISERROR(SEARCH(("Block"),(I27))))</formula>
    </cfRule>
    <cfRule type="containsText" dxfId="36" priority="47" operator="containsText" text="N/A">
      <formula>NOT(ISERROR(SEARCH(("N/A"),(I27))))</formula>
    </cfRule>
  </conditionalFormatting>
  <conditionalFormatting sqref="I30">
    <cfRule type="containsBlanks" dxfId="35" priority="37">
      <formula>LEN(TRIM(I30))=0</formula>
    </cfRule>
    <cfRule type="containsText" dxfId="34" priority="42" operator="containsText" text="N/T">
      <formula>NOT(ISERROR(SEARCH(("N/T"),(I30))))</formula>
    </cfRule>
  </conditionalFormatting>
  <conditionalFormatting sqref="I30">
    <cfRule type="containsText" dxfId="33" priority="38" operator="containsText" text="Pass">
      <formula>NOT(ISERROR(SEARCH(("Pass"),(I30))))</formula>
    </cfRule>
    <cfRule type="containsText" dxfId="32" priority="39" operator="containsText" text="Fail">
      <formula>NOT(ISERROR(SEARCH(("Fail"),(I30))))</formula>
    </cfRule>
    <cfRule type="containsText" dxfId="31" priority="40" operator="containsText" text="Block">
      <formula>NOT(ISERROR(SEARCH(("Block"),(I30))))</formula>
    </cfRule>
    <cfRule type="containsText" dxfId="30" priority="41" operator="containsText" text="N/A">
      <formula>NOT(ISERROR(SEARCH(("N/A"),(I30))))</formula>
    </cfRule>
  </conditionalFormatting>
  <conditionalFormatting sqref="I72">
    <cfRule type="containsBlanks" dxfId="29" priority="25">
      <formula>LEN(TRIM(I72))=0</formula>
    </cfRule>
    <cfRule type="containsText" dxfId="28" priority="30" operator="containsText" text="N/T">
      <formula>NOT(ISERROR(SEARCH(("N/T"),(I72))))</formula>
    </cfRule>
  </conditionalFormatting>
  <conditionalFormatting sqref="I72">
    <cfRule type="containsText" dxfId="27" priority="26" operator="containsText" text="Pass">
      <formula>NOT(ISERROR(SEARCH(("Pass"),(I72))))</formula>
    </cfRule>
    <cfRule type="containsText" dxfId="26" priority="27" operator="containsText" text="Fail">
      <formula>NOT(ISERROR(SEARCH(("Fail"),(I72))))</formula>
    </cfRule>
    <cfRule type="containsText" dxfId="25" priority="28" operator="containsText" text="Block">
      <formula>NOT(ISERROR(SEARCH(("Block"),(I72))))</formula>
    </cfRule>
    <cfRule type="containsText" dxfId="24" priority="29" operator="containsText" text="N/A">
      <formula>NOT(ISERROR(SEARCH(("N/A"),(I72))))</formula>
    </cfRule>
  </conditionalFormatting>
  <conditionalFormatting sqref="I67:I69">
    <cfRule type="containsBlanks" dxfId="23" priority="19">
      <formula>LEN(TRIM(I67))=0</formula>
    </cfRule>
    <cfRule type="containsText" dxfId="22" priority="24" operator="containsText" text="N/T">
      <formula>NOT(ISERROR(SEARCH(("N/T"),(I67))))</formula>
    </cfRule>
  </conditionalFormatting>
  <conditionalFormatting sqref="I67:I69">
    <cfRule type="containsText" dxfId="21" priority="20" operator="containsText" text="Pass">
      <formula>NOT(ISERROR(SEARCH(("Pass"),(I67))))</formula>
    </cfRule>
    <cfRule type="containsText" dxfId="20" priority="21" operator="containsText" text="Fail">
      <formula>NOT(ISERROR(SEARCH(("Fail"),(I67))))</formula>
    </cfRule>
    <cfRule type="containsText" dxfId="19" priority="22" operator="containsText" text="Block">
      <formula>NOT(ISERROR(SEARCH(("Block"),(I67))))</formula>
    </cfRule>
    <cfRule type="containsText" dxfId="18" priority="23" operator="containsText" text="N/A">
      <formula>NOT(ISERROR(SEARCH(("N/A"),(I67))))</formula>
    </cfRule>
  </conditionalFormatting>
  <conditionalFormatting sqref="I45:I65">
    <cfRule type="containsBlanks" dxfId="17" priority="13">
      <formula>LEN(TRIM(I45))=0</formula>
    </cfRule>
    <cfRule type="containsText" dxfId="16" priority="18" operator="containsText" text="N/T">
      <formula>NOT(ISERROR(SEARCH(("N/T"),(I45))))</formula>
    </cfRule>
  </conditionalFormatting>
  <conditionalFormatting sqref="I45:I65">
    <cfRule type="containsText" dxfId="15" priority="14" operator="containsText" text="Pass">
      <formula>NOT(ISERROR(SEARCH(("Pass"),(I45))))</formula>
    </cfRule>
    <cfRule type="containsText" dxfId="14" priority="15" operator="containsText" text="Fail">
      <formula>NOT(ISERROR(SEARCH(("Fail"),(I45))))</formula>
    </cfRule>
    <cfRule type="containsText" dxfId="13" priority="16" operator="containsText" text="Block">
      <formula>NOT(ISERROR(SEARCH(("Block"),(I45))))</formula>
    </cfRule>
    <cfRule type="containsText" dxfId="12" priority="17" operator="containsText" text="N/A">
      <formula>NOT(ISERROR(SEARCH(("N/A"),(I45))))</formula>
    </cfRule>
  </conditionalFormatting>
  <conditionalFormatting sqref="I74">
    <cfRule type="containsBlanks" dxfId="11" priority="7">
      <formula>LEN(TRIM(I74))=0</formula>
    </cfRule>
    <cfRule type="containsText" dxfId="10" priority="12" operator="containsText" text="N/T">
      <formula>NOT(ISERROR(SEARCH(("N/T"),(I74))))</formula>
    </cfRule>
  </conditionalFormatting>
  <conditionalFormatting sqref="I74">
    <cfRule type="containsText" dxfId="9" priority="8" operator="containsText" text="Pass">
      <formula>NOT(ISERROR(SEARCH(("Pass"),(I74))))</formula>
    </cfRule>
    <cfRule type="containsText" dxfId="8" priority="9" operator="containsText" text="Fail">
      <formula>NOT(ISERROR(SEARCH(("Fail"),(I74))))</formula>
    </cfRule>
    <cfRule type="containsText" dxfId="7" priority="10" operator="containsText" text="Block">
      <formula>NOT(ISERROR(SEARCH(("Block"),(I74))))</formula>
    </cfRule>
    <cfRule type="containsText" dxfId="6" priority="11" operator="containsText" text="N/A">
      <formula>NOT(ISERROR(SEARCH(("N/A"),(I74))))</formula>
    </cfRule>
  </conditionalFormatting>
  <conditionalFormatting sqref="I75:I78 I80:I81">
    <cfRule type="containsBlanks" dxfId="5" priority="1">
      <formula>LEN(TRIM(I75))=0</formula>
    </cfRule>
    <cfRule type="containsText" dxfId="4" priority="6" operator="containsText" text="N/T">
      <formula>NOT(ISERROR(SEARCH(("N/T"),(I75))))</formula>
    </cfRule>
  </conditionalFormatting>
  <conditionalFormatting sqref="I75:I78 I80:I81">
    <cfRule type="containsText" dxfId="3" priority="2" operator="containsText" text="Pass">
      <formula>NOT(ISERROR(SEARCH(("Pass"),(I75))))</formula>
    </cfRule>
    <cfRule type="containsText" dxfId="2" priority="3" operator="containsText" text="Fail">
      <formula>NOT(ISERROR(SEARCH(("Fail"),(I75))))</formula>
    </cfRule>
    <cfRule type="containsText" dxfId="1" priority="4" operator="containsText" text="Block">
      <formula>NOT(ISERROR(SEARCH(("Block"),(I75))))</formula>
    </cfRule>
    <cfRule type="containsText" dxfId="0" priority="5" operator="containsText" text="N/A">
      <formula>NOT(ISERROR(SEARCH(("N/A"),(I75))))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J7"/>
  <sheetViews>
    <sheetView zoomScale="175" zoomScaleNormal="175" workbookViewId="0">
      <selection activeCell="D32" sqref="D32"/>
    </sheetView>
  </sheetViews>
  <sheetFormatPr defaultColWidth="12.5703125" defaultRowHeight="12.75" customHeight="1" x14ac:dyDescent="0.2"/>
  <cols>
    <col min="1" max="1" width="23.5703125" customWidth="1"/>
    <col min="2" max="2" width="6.42578125" customWidth="1"/>
    <col min="3" max="3" width="15.7109375" customWidth="1"/>
    <col min="4" max="9" width="8.7109375" bestFit="1" customWidth="1"/>
    <col min="10" max="10" width="9.7109375" bestFit="1" customWidth="1"/>
  </cols>
  <sheetData>
    <row r="1" spans="1:10" ht="12.75" customHeight="1" x14ac:dyDescent="0.2">
      <c r="A1" s="1" t="s">
        <v>30</v>
      </c>
    </row>
    <row r="2" spans="1:10" ht="12.75" customHeight="1" x14ac:dyDescent="0.2">
      <c r="A2" s="2" t="s">
        <v>25</v>
      </c>
      <c r="B2" s="2" t="s">
        <v>26</v>
      </c>
      <c r="C2" s="2" t="s">
        <v>27</v>
      </c>
      <c r="D2" s="2" t="s">
        <v>13</v>
      </c>
      <c r="E2" s="2" t="s">
        <v>16</v>
      </c>
      <c r="F2" s="2" t="s">
        <v>18</v>
      </c>
      <c r="G2" s="2" t="s">
        <v>17</v>
      </c>
      <c r="H2" s="2" t="s">
        <v>20</v>
      </c>
      <c r="I2" s="2" t="s">
        <v>28</v>
      </c>
      <c r="J2" s="2" t="s">
        <v>29</v>
      </c>
    </row>
    <row r="3" spans="1:10" ht="12.75" customHeight="1" x14ac:dyDescent="0.2">
      <c r="A3" s="3" t="s">
        <v>11</v>
      </c>
      <c r="B3" s="4">
        <f>COUNTIF(TestCase!L:L,A3)</f>
        <v>4</v>
      </c>
      <c r="C3" s="5">
        <f t="shared" ref="C3:C5" si="0">IFERROR(B3/$B$6,0)</f>
        <v>5.0632911392405063E-2</v>
      </c>
      <c r="D3" s="4">
        <f>COUNTIFS(TestCase!$I:$I,"*"&amp;D$2&amp;"*",TestCase!$L:$L,$A3)</f>
        <v>4</v>
      </c>
      <c r="E3" s="4">
        <f>COUNTIFS(TestCase!$I:$I,"*"&amp;E$2&amp;"*",TestCase!$L:$L,$A3)</f>
        <v>0</v>
      </c>
      <c r="F3" s="4">
        <f>COUNTIFS(TestCase!$I:$I,"*"&amp;F$2&amp;"*",TestCase!$L:$L,$A3)</f>
        <v>0</v>
      </c>
      <c r="G3" s="4">
        <f>COUNTIFS(TestCase!$I:$I,"*"&amp;G$2&amp;"*",TestCase!$L:$L,$A3)</f>
        <v>0</v>
      </c>
      <c r="H3" s="4">
        <f>COUNTIFS(TestCase!$I:$I,"*"&amp;H$2&amp;"*",TestCase!$L:$L,$A3)</f>
        <v>0</v>
      </c>
      <c r="I3" s="4">
        <f>COUNTIFS(TestCase!$I:$I,"*"&amp;I$2&amp;"*",TestCase!$L:$L,$A3)</f>
        <v>0</v>
      </c>
      <c r="J3" s="7">
        <f>I3/B3</f>
        <v>0</v>
      </c>
    </row>
    <row r="4" spans="1:10" ht="12.75" customHeight="1" x14ac:dyDescent="0.2">
      <c r="A4" s="3" t="s">
        <v>23</v>
      </c>
      <c r="B4" s="4">
        <f>COUNTIF(TestCase!L:L,A4)</f>
        <v>8</v>
      </c>
      <c r="C4" s="5">
        <f t="shared" si="0"/>
        <v>0.10126582278481013</v>
      </c>
      <c r="D4" s="4">
        <f>COUNTIFS(TestCase!$I:$I,"*"&amp;D$2&amp;"*",TestCase!$L:$L,$A4)</f>
        <v>7</v>
      </c>
      <c r="E4" s="4">
        <f>COUNTIFS(TestCase!$I:$I,"*"&amp;E$2&amp;"*",TestCase!$L:$L,$A4)</f>
        <v>1</v>
      </c>
      <c r="F4" s="4">
        <f>COUNTIFS(TestCase!$I:$I,"*"&amp;F$2&amp;"*",TestCase!$L:$L,$A4)</f>
        <v>0</v>
      </c>
      <c r="G4" s="4">
        <f>COUNTIFS(TestCase!$I:$I,"*"&amp;G$2&amp;"*",TestCase!$L:$L,$A4)</f>
        <v>0</v>
      </c>
      <c r="H4" s="4">
        <f>COUNTIFS(TestCase!$I:$I,"*"&amp;H$2&amp;"*",TestCase!$L:$L,$A4)</f>
        <v>0</v>
      </c>
      <c r="I4" s="6">
        <f t="shared" ref="I4:I5" si="1">SUM(D4:H4)</f>
        <v>8</v>
      </c>
      <c r="J4" s="7">
        <f t="shared" ref="J4:J5" si="2">I4/B4</f>
        <v>1</v>
      </c>
    </row>
    <row r="5" spans="1:10" ht="12.75" customHeight="1" x14ac:dyDescent="0.2">
      <c r="A5" s="3" t="s">
        <v>24</v>
      </c>
      <c r="B5" s="4">
        <f>COUNTIF(TestCase!L:L,A5)</f>
        <v>67</v>
      </c>
      <c r="C5" s="5">
        <f t="shared" si="0"/>
        <v>0.84810126582278478</v>
      </c>
      <c r="D5" s="4">
        <f>COUNTIFS(TestCase!$I:$I,"*"&amp;D$2&amp;"*",TestCase!$L:$L,$A5)</f>
        <v>63</v>
      </c>
      <c r="E5" s="4">
        <f>COUNTIFS(TestCase!$I:$I,"*"&amp;E$2&amp;"*",TestCase!$L:$L,$A5)</f>
        <v>4</v>
      </c>
      <c r="F5" s="4">
        <f>COUNTIFS(TestCase!$I:$I,"*"&amp;F$2&amp;"*",TestCase!$L:$L,$A5)</f>
        <v>0</v>
      </c>
      <c r="G5" s="4">
        <f>COUNTIFS(TestCase!$I:$I,"*"&amp;G$2&amp;"*",TestCase!$L:$L,$A5)</f>
        <v>0</v>
      </c>
      <c r="H5" s="4">
        <f>COUNTIFS(TestCase!$I:$I,"*"&amp;H$2&amp;"*",TestCase!$L:$L,$A5)</f>
        <v>0</v>
      </c>
      <c r="I5" s="6">
        <f t="shared" si="1"/>
        <v>67</v>
      </c>
      <c r="J5" s="7">
        <f t="shared" si="2"/>
        <v>1</v>
      </c>
    </row>
    <row r="6" spans="1:10" ht="12.75" customHeight="1" x14ac:dyDescent="0.2">
      <c r="A6" s="8" t="s">
        <v>28</v>
      </c>
      <c r="B6" s="8">
        <f t="shared" ref="B6:H6" si="3">SUM(B3:B5)</f>
        <v>79</v>
      </c>
      <c r="C6" s="9">
        <f>SUM(C3:C5)</f>
        <v>1</v>
      </c>
      <c r="D6" s="6">
        <f t="shared" si="3"/>
        <v>74</v>
      </c>
      <c r="E6" s="6">
        <f t="shared" si="3"/>
        <v>5</v>
      </c>
      <c r="F6" s="6">
        <f t="shared" si="3"/>
        <v>0</v>
      </c>
      <c r="G6" s="6">
        <f t="shared" si="3"/>
        <v>0</v>
      </c>
      <c r="H6" s="6">
        <f t="shared" si="3"/>
        <v>0</v>
      </c>
      <c r="I6" s="6">
        <f>SUM(I3:I5)</f>
        <v>75</v>
      </c>
      <c r="J6" s="6"/>
    </row>
    <row r="7" spans="1:10" ht="12.75" customHeight="1" x14ac:dyDescent="0.2">
      <c r="A7" s="8" t="s">
        <v>29</v>
      </c>
      <c r="B7" s="8"/>
      <c r="C7" s="8"/>
      <c r="D7" s="7">
        <f t="shared" ref="D7:I7" si="4">D6/$B6</f>
        <v>0.93670886075949367</v>
      </c>
      <c r="E7" s="7">
        <f t="shared" si="4"/>
        <v>6.3291139240506333E-2</v>
      </c>
      <c r="F7" s="7">
        <f t="shared" si="4"/>
        <v>0</v>
      </c>
      <c r="G7" s="7">
        <f t="shared" si="4"/>
        <v>0</v>
      </c>
      <c r="H7" s="7">
        <f t="shared" si="4"/>
        <v>0</v>
      </c>
      <c r="I7" s="7">
        <f t="shared" si="4"/>
        <v>0.94936708860759489</v>
      </c>
      <c r="J7" s="6"/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게임을 실행한다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5" type="noConversion"/>
  <dataValidations disablePrompts="1" count="1">
    <dataValidation type="list" allowBlank="1" showInputMessage="1" showErrorMessage="1" sqref="C5:E5 H5:J5" xr:uid="{00000000-0002-0000-02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제목표시줄 내용을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disablePrompts="1" count="1">
    <dataValidation type="list" allowBlank="1" showInputMessage="1" showErrorMessage="1" sqref="C5:E5 H5:J5" xr:uid="{00000000-0002-0000-03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게임중 윈도우를 최소화 후 복귀한다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4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윈도우를 닫는다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5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게임 시작 버튼을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6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설정 버튼을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7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8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게임 종료 버튼을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8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9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사운드 볼륨을 조절한다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9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10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Exit를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A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38"/>
  <sheetViews>
    <sheetView zoomScale="130" zoomScaleNormal="130" workbookViewId="0">
      <selection activeCell="M39" sqref="M39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11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각 Scene 별로 사운드가 동일하게 조절되는지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50" t="s">
        <v>79</v>
      </c>
      <c r="D38" s="51"/>
      <c r="E38" s="51"/>
      <c r="F38" s="51"/>
      <c r="G38" s="51"/>
      <c r="H38" s="51"/>
      <c r="I38" s="51"/>
      <c r="J38" s="51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K38"/>
  <sheetViews>
    <sheetView zoomScale="130" zoomScaleNormal="130" workbookViewId="0">
      <selection activeCell="H52" sqref="H5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12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볼륨을 올린다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13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볼륨을 내린다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D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14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상점 NPC와 대화한다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E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15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상점 UI가 닫히는지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0F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16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상점 UI가 표시되는 동안 플레이어 이동이 제한된다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0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17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상점 UI를 닫은 후 플레이어 이동 제한이 해제된다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1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18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상점에서 아이템 구매 확인창이 뜨는지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2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19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아이템 구매 확인창에서 "네"를 선택한다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3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20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아이템 구매 확인창에서 "아니오"를  선택한다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4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K38"/>
  <sheetViews>
    <sheetView zoomScale="130" zoomScaleNormal="130" workbookViewId="0">
      <selection activeCell="O28" sqref="O28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21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아이템 구매 시 재화가 차감된다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50" t="s">
        <v>79</v>
      </c>
      <c r="D38" s="51"/>
      <c r="E38" s="51"/>
      <c r="F38" s="51"/>
      <c r="G38" s="51"/>
      <c r="H38" s="51"/>
      <c r="I38" s="51"/>
      <c r="J38" s="51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5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22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인벤토리 창을 활성화 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6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23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인벤토리 창을 비활성화 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7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24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인벤토리 UI가 출력되는 중 플레이어가 이동가능 여부를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8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/>
  <dimension ref="A1:K38"/>
  <sheetViews>
    <sheetView zoomScale="130" zoomScaleNormal="130" workbookViewId="0">
      <selection activeCell="C38" sqref="C38:J38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25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아이템 구매 후 인벤토리에 아이템이 추가된다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50" t="s">
        <v>79</v>
      </c>
      <c r="D38" s="51"/>
      <c r="E38" s="51"/>
      <c r="F38" s="51"/>
      <c r="G38" s="51"/>
      <c r="H38" s="51"/>
      <c r="I38" s="51"/>
      <c r="J38" s="51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9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26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일반 NPC에게 아이템을 사용 후 해당 아이템이 인벤토리 창에서 차감되는지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A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27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각 NPC와 처음 대화 시작 시 호감도가 0으로 표시된다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28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각 NPC와 대화 중 호감도가 증가하는 선택지를 클릭한다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29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각 NPC와 대화 중 호감도가 감소하는 선택지를 클릭한다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D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30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각 NPC와 대화 중 호감도가 불변하는 선택지를 클릭한다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E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31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각 NPC에게 할당되지 않은 호감도 아이템을 선물한다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1F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32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각 NPC에게 할당된 호감도 아이템을 선물한다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0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/>
  <dimension ref="A1:K38"/>
  <sheetViews>
    <sheetView zoomScale="130" zoomScaleNormal="130" workbookViewId="0">
      <selection activeCell="A12" sqref="A12:B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33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호감도가 일정 수치에 도달하면 플레이어에게 귀속된다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1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6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34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플레이어 이름을 입력한다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2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7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35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방 이름을 입력한다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3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8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36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방을 생성한다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4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9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37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생성된 방에 참가한다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5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0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38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게임을 시작한다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6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1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39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플레이어 이름을 입력하지 않고 방을 생성 / 참가 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7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2"/>
  <dimension ref="A1:K38"/>
  <sheetViews>
    <sheetView zoomScale="130" zoomScaleNormal="130" workbookViewId="0">
      <selection activeCell="A13" sqref="A13:J37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40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방 이름을 입력하지 않고 방을 생성 / 참가 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8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3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41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NPC와 일반 대화를 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9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4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42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NPC와 대화가 중복 실행되는지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A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5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43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대화창 텍스트가 정상적으로 출력되는지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6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44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대화 중 다음 대화로 넘어간다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7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45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W(앞으로가기) 를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D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8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46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S(뒤로가기) 를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E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9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47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A(왼쪽으로가기) 를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2F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0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48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D(오른쪽으로가기) 를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0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1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49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스페이스바(점프) 를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1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2"/>
  <dimension ref="A1:K38"/>
  <sheetViews>
    <sheetView zoomScale="130" zoomScaleNormal="130" workbookViewId="0">
      <selection activeCell="C38" sqref="C38:J38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50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W를 누르는 중 Shift(달리기) 를 누른다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50" t="s">
        <v>79</v>
      </c>
      <c r="D38" s="51"/>
      <c r="E38" s="51"/>
      <c r="F38" s="51"/>
      <c r="G38" s="51"/>
      <c r="H38" s="51"/>
      <c r="I38" s="51"/>
      <c r="J38" s="51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2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3"/>
  <dimension ref="A1:K38"/>
  <sheetViews>
    <sheetView zoomScale="130" zoomScaleNormal="130" workbookViewId="0">
      <selection activeCell="R30" sqref="R30:R3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51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퀘스트 전용 대화가 정상적으로 출력되는지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48"/>
      <c r="C14" s="48"/>
      <c r="D14" s="48"/>
      <c r="E14" s="48"/>
      <c r="F14" s="48"/>
      <c r="G14" s="48"/>
      <c r="H14" s="48"/>
      <c r="I14" s="48"/>
      <c r="J14" s="40"/>
    </row>
    <row r="15" spans="1:11" x14ac:dyDescent="0.2">
      <c r="A15" s="38"/>
      <c r="B15" s="48"/>
      <c r="C15" s="48"/>
      <c r="D15" s="48"/>
      <c r="E15" s="48"/>
      <c r="F15" s="48"/>
      <c r="G15" s="48"/>
      <c r="H15" s="48"/>
      <c r="I15" s="48"/>
      <c r="J15" s="40"/>
    </row>
    <row r="16" spans="1:11" x14ac:dyDescent="0.2">
      <c r="A16" s="38"/>
      <c r="B16" s="48"/>
      <c r="C16" s="48"/>
      <c r="D16" s="48"/>
      <c r="E16" s="48"/>
      <c r="F16" s="48"/>
      <c r="G16" s="48"/>
      <c r="H16" s="48"/>
      <c r="I16" s="48"/>
      <c r="J16" s="40"/>
    </row>
    <row r="17" spans="1:10" x14ac:dyDescent="0.2">
      <c r="A17" s="38"/>
      <c r="B17" s="48"/>
      <c r="C17" s="48"/>
      <c r="D17" s="48"/>
      <c r="E17" s="48"/>
      <c r="F17" s="48"/>
      <c r="G17" s="48"/>
      <c r="H17" s="48"/>
      <c r="I17" s="48"/>
      <c r="J17" s="40"/>
    </row>
    <row r="18" spans="1:10" x14ac:dyDescent="0.2">
      <c r="A18" s="38"/>
      <c r="B18" s="48"/>
      <c r="C18" s="48"/>
      <c r="D18" s="48"/>
      <c r="E18" s="48"/>
      <c r="F18" s="48"/>
      <c r="G18" s="48"/>
      <c r="H18" s="48"/>
      <c r="I18" s="48"/>
      <c r="J18" s="40"/>
    </row>
    <row r="19" spans="1:10" x14ac:dyDescent="0.2">
      <c r="A19" s="38"/>
      <c r="B19" s="48"/>
      <c r="C19" s="48"/>
      <c r="D19" s="48"/>
      <c r="E19" s="48"/>
      <c r="F19" s="48"/>
      <c r="G19" s="48"/>
      <c r="H19" s="48"/>
      <c r="I19" s="48"/>
      <c r="J19" s="40"/>
    </row>
    <row r="20" spans="1:10" x14ac:dyDescent="0.2">
      <c r="A20" s="38"/>
      <c r="B20" s="48"/>
      <c r="C20" s="48"/>
      <c r="D20" s="48"/>
      <c r="E20" s="48"/>
      <c r="F20" s="48"/>
      <c r="G20" s="48"/>
      <c r="H20" s="48"/>
      <c r="I20" s="48"/>
      <c r="J20" s="40"/>
    </row>
    <row r="21" spans="1:10" x14ac:dyDescent="0.2">
      <c r="A21" s="38"/>
      <c r="B21" s="48"/>
      <c r="C21" s="48"/>
      <c r="D21" s="48"/>
      <c r="E21" s="48"/>
      <c r="F21" s="48"/>
      <c r="G21" s="48"/>
      <c r="H21" s="48"/>
      <c r="I21" s="48"/>
      <c r="J21" s="40"/>
    </row>
    <row r="22" spans="1:10" x14ac:dyDescent="0.2">
      <c r="A22" s="38"/>
      <c r="B22" s="48"/>
      <c r="C22" s="48"/>
      <c r="D22" s="48"/>
      <c r="E22" s="48"/>
      <c r="F22" s="48"/>
      <c r="G22" s="48"/>
      <c r="H22" s="48"/>
      <c r="I22" s="48"/>
      <c r="J22" s="40"/>
    </row>
    <row r="23" spans="1:10" x14ac:dyDescent="0.2">
      <c r="A23" s="38"/>
      <c r="B23" s="48"/>
      <c r="C23" s="48"/>
      <c r="D23" s="48"/>
      <c r="E23" s="48"/>
      <c r="F23" s="48"/>
      <c r="G23" s="48"/>
      <c r="H23" s="48"/>
      <c r="I23" s="48"/>
      <c r="J23" s="40"/>
    </row>
    <row r="24" spans="1:10" x14ac:dyDescent="0.2">
      <c r="A24" s="38"/>
      <c r="B24" s="48"/>
      <c r="C24" s="48"/>
      <c r="D24" s="48"/>
      <c r="E24" s="48"/>
      <c r="F24" s="48"/>
      <c r="G24" s="48"/>
      <c r="H24" s="48"/>
      <c r="I24" s="48"/>
      <c r="J24" s="40"/>
    </row>
    <row r="25" spans="1:10" x14ac:dyDescent="0.2">
      <c r="A25" s="38"/>
      <c r="B25" s="48"/>
      <c r="C25" s="48"/>
      <c r="D25" s="48"/>
      <c r="E25" s="48"/>
      <c r="F25" s="48"/>
      <c r="G25" s="48"/>
      <c r="H25" s="48"/>
      <c r="I25" s="48"/>
      <c r="J25" s="40"/>
    </row>
    <row r="26" spans="1:10" x14ac:dyDescent="0.2">
      <c r="A26" s="38"/>
      <c r="B26" s="48"/>
      <c r="C26" s="48"/>
      <c r="D26" s="48"/>
      <c r="E26" s="48"/>
      <c r="F26" s="48"/>
      <c r="G26" s="48"/>
      <c r="H26" s="48"/>
      <c r="I26" s="48"/>
      <c r="J26" s="40"/>
    </row>
    <row r="27" spans="1:10" x14ac:dyDescent="0.2">
      <c r="A27" s="38"/>
      <c r="B27" s="48"/>
      <c r="C27" s="48"/>
      <c r="D27" s="48"/>
      <c r="E27" s="48"/>
      <c r="F27" s="48"/>
      <c r="G27" s="48"/>
      <c r="H27" s="48"/>
      <c r="I27" s="48"/>
      <c r="J27" s="40"/>
    </row>
    <row r="28" spans="1:10" x14ac:dyDescent="0.2">
      <c r="A28" s="38"/>
      <c r="B28" s="48"/>
      <c r="C28" s="48"/>
      <c r="D28" s="48"/>
      <c r="E28" s="48"/>
      <c r="F28" s="48"/>
      <c r="G28" s="48"/>
      <c r="H28" s="48"/>
      <c r="I28" s="48"/>
      <c r="J28" s="40"/>
    </row>
    <row r="29" spans="1:10" x14ac:dyDescent="0.2">
      <c r="A29" s="38"/>
      <c r="B29" s="48"/>
      <c r="C29" s="48"/>
      <c r="D29" s="48"/>
      <c r="E29" s="48"/>
      <c r="F29" s="48"/>
      <c r="G29" s="48"/>
      <c r="H29" s="48"/>
      <c r="I29" s="48"/>
      <c r="J29" s="40"/>
    </row>
    <row r="30" spans="1:10" x14ac:dyDescent="0.2">
      <c r="A30" s="38"/>
      <c r="B30" s="48"/>
      <c r="C30" s="48"/>
      <c r="D30" s="48"/>
      <c r="E30" s="48"/>
      <c r="F30" s="48"/>
      <c r="G30" s="48"/>
      <c r="H30" s="48"/>
      <c r="I30" s="48"/>
      <c r="J30" s="40"/>
    </row>
    <row r="31" spans="1:10" x14ac:dyDescent="0.2">
      <c r="A31" s="38"/>
      <c r="B31" s="48"/>
      <c r="C31" s="48"/>
      <c r="D31" s="48"/>
      <c r="E31" s="48"/>
      <c r="F31" s="48"/>
      <c r="G31" s="48"/>
      <c r="H31" s="48"/>
      <c r="I31" s="48"/>
      <c r="J31" s="40"/>
    </row>
    <row r="32" spans="1:10" x14ac:dyDescent="0.2">
      <c r="A32" s="38"/>
      <c r="B32" s="48"/>
      <c r="C32" s="48"/>
      <c r="D32" s="48"/>
      <c r="E32" s="48"/>
      <c r="F32" s="48"/>
      <c r="G32" s="48"/>
      <c r="H32" s="48"/>
      <c r="I32" s="48"/>
      <c r="J32" s="40"/>
    </row>
    <row r="33" spans="1:10" x14ac:dyDescent="0.2">
      <c r="A33" s="38"/>
      <c r="B33" s="48"/>
      <c r="C33" s="48"/>
      <c r="D33" s="48"/>
      <c r="E33" s="48"/>
      <c r="F33" s="48"/>
      <c r="G33" s="48"/>
      <c r="H33" s="48"/>
      <c r="I33" s="48"/>
      <c r="J33" s="40"/>
    </row>
    <row r="34" spans="1:10" x14ac:dyDescent="0.2">
      <c r="A34" s="38"/>
      <c r="B34" s="48"/>
      <c r="C34" s="48"/>
      <c r="D34" s="48"/>
      <c r="E34" s="48"/>
      <c r="F34" s="48"/>
      <c r="G34" s="48"/>
      <c r="H34" s="48"/>
      <c r="I34" s="48"/>
      <c r="J34" s="40"/>
    </row>
    <row r="35" spans="1:10" x14ac:dyDescent="0.2">
      <c r="A35" s="38"/>
      <c r="B35" s="48"/>
      <c r="C35" s="48"/>
      <c r="D35" s="48"/>
      <c r="E35" s="48"/>
      <c r="F35" s="48"/>
      <c r="G35" s="48"/>
      <c r="H35" s="48"/>
      <c r="I35" s="48"/>
      <c r="J35" s="40"/>
    </row>
    <row r="36" spans="1:10" x14ac:dyDescent="0.2">
      <c r="A36" s="38"/>
      <c r="B36" s="48"/>
      <c r="C36" s="48"/>
      <c r="D36" s="48"/>
      <c r="E36" s="48"/>
      <c r="F36" s="48"/>
      <c r="G36" s="48"/>
      <c r="H36" s="48"/>
      <c r="I36" s="48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9" t="s">
        <v>13</v>
      </c>
      <c r="D38" s="49"/>
      <c r="E38" s="49"/>
      <c r="F38" s="49"/>
      <c r="G38" s="49"/>
      <c r="H38" s="49"/>
      <c r="I38" s="49"/>
      <c r="J38" s="49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3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52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퀘스트가 정상적으로 완료됬는지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4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K38"/>
  <sheetViews>
    <sheetView zoomScale="130" zoomScaleNormal="130" workbookViewId="0">
      <selection activeCell="C38" sqref="C38:J38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53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퀘스트 완료 후 퀘스트 대화가 다시 출력되는지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52" t="s">
        <v>79</v>
      </c>
      <c r="D38" s="53"/>
      <c r="E38" s="53"/>
      <c r="F38" s="53"/>
      <c r="G38" s="53"/>
      <c r="H38" s="53"/>
      <c r="I38" s="53"/>
      <c r="J38" s="5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5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54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한 플레이어가 퀘스트 완료 시 다른 플레이어가 퀘스트를 받을 수 있는지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6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K38"/>
  <sheetViews>
    <sheetView zoomScale="130" zoomScaleNormal="130" workbookViewId="0">
      <selection activeCell="G44" sqref="G44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55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퀘스트 보상이 정상적으로 지급되는지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55" t="s">
        <v>79</v>
      </c>
      <c r="D38" s="53"/>
      <c r="E38" s="53"/>
      <c r="F38" s="53"/>
      <c r="G38" s="53"/>
      <c r="H38" s="53"/>
      <c r="I38" s="53"/>
      <c r="J38" s="5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7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56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퀘스트 수락 후 퀘스트 로그에 진행상황이 표시된다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8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57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상자에서 아이템을 획득한다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9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58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상자가 정상적으로 스폰된다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A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59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상자에서 아이템이 랜덤 확률로 획득된다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60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아이템 획득 후 인벤토리에 아이템이 추가된다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K38"/>
  <sheetViews>
    <sheetView zoomScale="130" zoomScaleNormal="130" workbookViewId="0">
      <selection activeCell="O42" sqref="O4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61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시야 가리기 스킬을 사용한다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5" type="noConversion"/>
  <dataValidations count="1">
    <dataValidation type="list" allowBlank="1" showInputMessage="1" showErrorMessage="1" sqref="C5:E5 H5:J5" xr:uid="{00000000-0002-0000-3D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1526E-14FA-427D-A3F0-CCD84EEB7766}">
  <sheetPr codeName="Sheet63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62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이동 속도 감소 스킬을 사용한다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6A019622-E055-4450-956A-FDEFA44E8C94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FB0ED-6391-468F-82B7-80836DFCBBCF}">
  <sheetPr codeName="Sheet64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63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넘어뜨리기 스킬을 사용한다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FA1134A5-B0F5-456D-9EF1-46CE67F01344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D178A-1D8D-4271-901E-028267B7B516}">
  <sheetPr codeName="Sheet65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64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스킬의 쿨타임이 적용되는지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FE99840C-3B38-4221-BBAB-26F3EBBA86D4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F0D49-D901-4911-AD57-D8EB85D2D8DF}">
  <sheetPr codeName="Sheet66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65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트랩류 스킬을 사용했을 때 오브젝트가 확실히 보이는지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02901090-7B35-48F1-BEA1-11669346BC3A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F4552-46D9-4C5A-A165-0C52C04C0FBE}">
  <sheetPr codeName="Sheet67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66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타이머의 시간이 정상적으로 줄어드는지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4AB90225-7A50-4ED3-A925-D06E7D12E2F9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8B368-15E8-41AF-BA89-05642E70425A}">
  <sheetPr codeName="Sheet68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67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타이머가 끝나면 게임이 종료되고 로비 화면으로 돌아간다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7FA96D2A-B5E2-4E78-98C9-5F032AF386AD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83A60-F04F-4AEA-8462-4C30357EEF73}">
  <sheetPr codeName="Sheet69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68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로비로 돌아간 후 다시 게임을 시작한다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418B8B96-2E7C-47AE-8BFA-A8E2D9F7BBAB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0F30C-9B31-427C-A9A2-51FE772D231C}">
  <sheetPr codeName="Sheet70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69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각 NPC의 이름이 NPC 오브젝트 상단에 표시된다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90F0B8DB-799D-488E-8DC4-A491EDCF50A7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44DB-BC2B-4AA3-9DB1-FAC37F032FB7}">
  <sheetPr codeName="Sheet71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70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모든 텍스트에서 한글 폰트가 정상적으로 나오는지
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7D597BD2-3BAD-4D92-B87F-649EE333233F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5739C-1639-4D6E-98C3-85A07C75D71D}">
  <sheetPr codeName="Sheet72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71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타이머가 정상적으로 화면에 출력되는지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34B34562-A7F1-4C8B-ADFC-E108B2CBDD7F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39BB2-AC04-4840-8849-9092BCAF8BCA}">
  <sheetPr codeName="Sheet73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72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게임 결과 화면이 정상적으로 출력되는지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FF4CB70F-937E-4289-8426-45A5E728D7D5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A1409-8ABA-4B3E-BD3D-34D48055EC71}">
  <sheetPr codeName="Sheet74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73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맵이 정상적으로 화면에 보이는지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111CAEC3-E3D0-49A7-8482-1C140DD4DC11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76B3C-03E3-43E0-AAFD-2F473CF5DF49}">
  <sheetPr codeName="Sheet75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74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맵 내에 뚫리는 곳이 있는지 확인한다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11BF5368-E521-414B-81AD-50EEDFE44AE6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0C53A-0187-48AF-AB98-FA57B52A93A0}">
  <sheetPr codeName="Sheet76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75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다른 플레이어가 움직일 때 끊김 없이 부드럽게 보이는가?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D1558E8D-D311-4671-AB4C-ACE8F05AC8CA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81FEC-8C4C-4716-A599-346B0CA961C5}">
  <sheetPr codeName="Sheet77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76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다른 플레이어의 애니메이션(걷기, 뛰기, 공격, 넘어짐 등)이 내 화면에서도 동일하게 재생되는가?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82A4D7E0-089E-4DF6-A27B-6951494F185A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71D92-5164-4085-90BA-79C34868BBF8}">
  <sheetPr codeName="Sheet78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77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A 플레이어가 함정에 걸려 넘어졌을 때, B 플레이어 화면에서도 A가 넘어진 상태로 보이는가?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99D4D297-3F14-4EEA-90F2-52A31FB91897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07CA-C6D1-4421-8367-804A54AC0313}">
  <sheetPr codeName="Sheet79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78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A 플레이어가 눈 가리기 스킬을 당했을 때, 실제로 A 플레이어의 화면이 가려지는가?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ED0F938E-40C5-4372-A0C5-25B7BBBFFD43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74B0B-FE6B-4AEF-B959-4C6D69E4074E}">
  <sheetPr codeName="Sheet80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79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cm="1">
        <f t="array" aca="1" ref="C3" ca="1">INDEX(TestCase!$E:$E, $K$1)</f>
        <v>0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7D1CB0D5-72C7-4A79-BABF-04A5B693C882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C8B47-39F2-40B6-8F3D-BFE358A830A8}">
  <sheetPr codeName="Sheet81"/>
  <dimension ref="A1:K38"/>
  <sheetViews>
    <sheetView zoomScale="130" zoomScaleNormal="130" workbookViewId="0">
      <selection activeCell="L11" sqref="L1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80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A 플레이어가 상자를 열었을 때, B 플레이어 화면에서도 상자가 열린 상태로 바뀌는가?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2C01F6FB-B996-43AA-B873-3D9E6B8ED14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3322F-6B66-430A-9D5B-8152D0F9657A}">
  <sheetPr codeName="Sheet82"/>
  <dimension ref="A1:K38"/>
  <sheetViews>
    <sheetView tabSelected="1" zoomScale="130" zoomScaleNormal="130" workbookViewId="0">
      <selection activeCell="O14" sqref="O14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81</v>
      </c>
    </row>
    <row r="2" spans="1:11" ht="15.75" x14ac:dyDescent="0.2">
      <c r="A2" s="17" t="s">
        <v>108</v>
      </c>
      <c r="B2" s="18"/>
      <c r="C2" s="18"/>
      <c r="D2" s="18"/>
      <c r="E2" s="18"/>
      <c r="F2" s="18"/>
      <c r="G2" s="18"/>
      <c r="H2" s="18"/>
      <c r="I2" s="18"/>
      <c r="J2" s="19"/>
    </row>
    <row r="3" spans="1:11" x14ac:dyDescent="0.2">
      <c r="A3" s="12" t="s">
        <v>120</v>
      </c>
      <c r="B3" s="13"/>
      <c r="C3" s="20" t="str" cm="1">
        <f t="array" aca="1" ref="C3" ca="1">INDEX(TestCase!$E:$E, $K$1)</f>
        <v>맵에 생성된 함정이 모든 플레이어에게 동일한 위치에 보이는가?</v>
      </c>
      <c r="D3" s="21"/>
      <c r="E3" s="21"/>
      <c r="F3" s="21"/>
      <c r="G3" s="21"/>
      <c r="H3" s="21"/>
      <c r="I3" s="21"/>
      <c r="J3" s="22"/>
    </row>
    <row r="4" spans="1:11" ht="13.5" x14ac:dyDescent="0.2">
      <c r="A4" s="12" t="s">
        <v>109</v>
      </c>
      <c r="B4" s="13"/>
      <c r="C4" s="23"/>
      <c r="D4" s="24"/>
      <c r="E4" s="25"/>
      <c r="F4" s="12" t="s">
        <v>110</v>
      </c>
      <c r="G4" s="13"/>
      <c r="H4" s="26" t="s">
        <v>111</v>
      </c>
      <c r="I4" s="27"/>
      <c r="J4" s="28"/>
    </row>
    <row r="5" spans="1:11" x14ac:dyDescent="0.2">
      <c r="A5" s="12" t="s">
        <v>112</v>
      </c>
      <c r="B5" s="13"/>
      <c r="C5" s="20" t="s">
        <v>113</v>
      </c>
      <c r="D5" s="21"/>
      <c r="E5" s="22"/>
      <c r="F5" s="12" t="s">
        <v>114</v>
      </c>
      <c r="G5" s="13"/>
      <c r="H5" s="20" t="s">
        <v>115</v>
      </c>
      <c r="I5" s="21"/>
      <c r="J5" s="22"/>
    </row>
    <row r="6" spans="1:1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1" ht="15.75" x14ac:dyDescent="0.2">
      <c r="A8" s="17" t="s">
        <v>116</v>
      </c>
      <c r="B8" s="18"/>
      <c r="C8" s="18"/>
      <c r="D8" s="18"/>
      <c r="E8" s="18"/>
      <c r="F8" s="18"/>
      <c r="G8" s="18"/>
      <c r="H8" s="18"/>
      <c r="I8" s="18"/>
      <c r="J8" s="19"/>
    </row>
    <row r="9" spans="1:11" x14ac:dyDescent="0.2">
      <c r="A9" s="12" t="s">
        <v>117</v>
      </c>
      <c r="B9" s="13"/>
      <c r="C9" s="14"/>
      <c r="D9" s="15"/>
      <c r="E9" s="15"/>
      <c r="F9" s="15"/>
      <c r="G9" s="15"/>
      <c r="H9" s="15"/>
      <c r="I9" s="15"/>
      <c r="J9" s="16"/>
    </row>
    <row r="10" spans="1:11" x14ac:dyDescent="0.2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1" x14ac:dyDescent="0.2">
      <c r="A11" s="32"/>
      <c r="B11" s="33"/>
      <c r="C11" s="33"/>
      <c r="D11" s="33"/>
      <c r="E11" s="33"/>
      <c r="F11" s="33"/>
      <c r="G11" s="33"/>
      <c r="H11" s="33"/>
      <c r="I11" s="33"/>
      <c r="J11" s="34"/>
    </row>
    <row r="12" spans="1:11" x14ac:dyDescent="0.2">
      <c r="A12" s="12" t="s">
        <v>118</v>
      </c>
      <c r="B12" s="13"/>
      <c r="C12" s="14"/>
      <c r="D12" s="15"/>
      <c r="E12" s="15"/>
      <c r="F12" s="15"/>
      <c r="G12" s="15"/>
      <c r="H12" s="15"/>
      <c r="I12" s="15"/>
      <c r="J12" s="16"/>
    </row>
    <row r="13" spans="1:11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7"/>
    </row>
    <row r="14" spans="1:1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40"/>
    </row>
    <row r="15" spans="1:1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40"/>
    </row>
    <row r="17" spans="1:10" x14ac:dyDescent="0.2">
      <c r="A17" s="38"/>
      <c r="B17" s="39"/>
      <c r="C17" s="39"/>
      <c r="D17" s="39"/>
      <c r="E17" s="39"/>
      <c r="F17" s="39"/>
      <c r="G17" s="39"/>
      <c r="H17" s="39"/>
      <c r="I17" s="39"/>
      <c r="J17" s="40"/>
    </row>
    <row r="18" spans="1:10" x14ac:dyDescent="0.2">
      <c r="A18" s="38"/>
      <c r="B18" s="39"/>
      <c r="C18" s="39"/>
      <c r="D18" s="39"/>
      <c r="E18" s="39"/>
      <c r="F18" s="39"/>
      <c r="G18" s="39"/>
      <c r="H18" s="39"/>
      <c r="I18" s="39"/>
      <c r="J18" s="40"/>
    </row>
    <row r="19" spans="1:10" x14ac:dyDescent="0.2">
      <c r="A19" s="38"/>
      <c r="B19" s="39"/>
      <c r="C19" s="39"/>
      <c r="D19" s="39"/>
      <c r="E19" s="39"/>
      <c r="F19" s="39"/>
      <c r="G19" s="39"/>
      <c r="H19" s="39"/>
      <c r="I19" s="39"/>
      <c r="J19" s="40"/>
    </row>
    <row r="20" spans="1:10" x14ac:dyDescent="0.2">
      <c r="A20" s="38"/>
      <c r="B20" s="39"/>
      <c r="C20" s="39"/>
      <c r="D20" s="39"/>
      <c r="E20" s="39"/>
      <c r="F20" s="39"/>
      <c r="G20" s="39"/>
      <c r="H20" s="39"/>
      <c r="I20" s="39"/>
      <c r="J20" s="40"/>
    </row>
    <row r="21" spans="1:10" x14ac:dyDescent="0.2">
      <c r="A21" s="38"/>
      <c r="B21" s="39"/>
      <c r="C21" s="39"/>
      <c r="D21" s="39"/>
      <c r="E21" s="39"/>
      <c r="F21" s="39"/>
      <c r="G21" s="39"/>
      <c r="H21" s="39"/>
      <c r="I21" s="39"/>
      <c r="J21" s="40"/>
    </row>
    <row r="22" spans="1:10" x14ac:dyDescent="0.2">
      <c r="A22" s="38"/>
      <c r="B22" s="39"/>
      <c r="C22" s="39"/>
      <c r="D22" s="39"/>
      <c r="E22" s="39"/>
      <c r="F22" s="39"/>
      <c r="G22" s="39"/>
      <c r="H22" s="39"/>
      <c r="I22" s="39"/>
      <c r="J22" s="40"/>
    </row>
    <row r="23" spans="1:10" x14ac:dyDescent="0.2">
      <c r="A23" s="38"/>
      <c r="B23" s="39"/>
      <c r="C23" s="39"/>
      <c r="D23" s="39"/>
      <c r="E23" s="39"/>
      <c r="F23" s="39"/>
      <c r="G23" s="39"/>
      <c r="H23" s="39"/>
      <c r="I23" s="39"/>
      <c r="J23" s="40"/>
    </row>
    <row r="24" spans="1:10" x14ac:dyDescent="0.2">
      <c r="A24" s="38"/>
      <c r="B24" s="39"/>
      <c r="C24" s="39"/>
      <c r="D24" s="39"/>
      <c r="E24" s="39"/>
      <c r="F24" s="39"/>
      <c r="G24" s="39"/>
      <c r="H24" s="39"/>
      <c r="I24" s="39"/>
      <c r="J24" s="40"/>
    </row>
    <row r="25" spans="1:10" x14ac:dyDescent="0.2">
      <c r="A25" s="38"/>
      <c r="B25" s="39"/>
      <c r="C25" s="39"/>
      <c r="D25" s="39"/>
      <c r="E25" s="39"/>
      <c r="F25" s="39"/>
      <c r="G25" s="39"/>
      <c r="H25" s="39"/>
      <c r="I25" s="39"/>
      <c r="J25" s="40"/>
    </row>
    <row r="26" spans="1:10" x14ac:dyDescent="0.2">
      <c r="A26" s="38"/>
      <c r="B26" s="39"/>
      <c r="C26" s="39"/>
      <c r="D26" s="39"/>
      <c r="E26" s="39"/>
      <c r="F26" s="39"/>
      <c r="G26" s="39"/>
      <c r="H26" s="39"/>
      <c r="I26" s="39"/>
      <c r="J26" s="40"/>
    </row>
    <row r="27" spans="1:10" x14ac:dyDescent="0.2">
      <c r="A27" s="38"/>
      <c r="B27" s="39"/>
      <c r="C27" s="39"/>
      <c r="D27" s="39"/>
      <c r="E27" s="39"/>
      <c r="F27" s="39"/>
      <c r="G27" s="39"/>
      <c r="H27" s="39"/>
      <c r="I27" s="39"/>
      <c r="J27" s="40"/>
    </row>
    <row r="28" spans="1:10" x14ac:dyDescent="0.2">
      <c r="A28" s="38"/>
      <c r="B28" s="39"/>
      <c r="C28" s="39"/>
      <c r="D28" s="39"/>
      <c r="E28" s="39"/>
      <c r="F28" s="39"/>
      <c r="G28" s="39"/>
      <c r="H28" s="39"/>
      <c r="I28" s="39"/>
      <c r="J28" s="40"/>
    </row>
    <row r="29" spans="1:10" x14ac:dyDescent="0.2">
      <c r="A29" s="38"/>
      <c r="B29" s="39"/>
      <c r="C29" s="39"/>
      <c r="D29" s="39"/>
      <c r="E29" s="39"/>
      <c r="F29" s="39"/>
      <c r="G29" s="39"/>
      <c r="H29" s="39"/>
      <c r="I29" s="39"/>
      <c r="J29" s="40"/>
    </row>
    <row r="30" spans="1:10" x14ac:dyDescent="0.2">
      <c r="A30" s="38"/>
      <c r="B30" s="39"/>
      <c r="C30" s="39"/>
      <c r="D30" s="39"/>
      <c r="E30" s="39"/>
      <c r="F30" s="39"/>
      <c r="G30" s="39"/>
      <c r="H30" s="39"/>
      <c r="I30" s="39"/>
      <c r="J30" s="40"/>
    </row>
    <row r="31" spans="1:10" x14ac:dyDescent="0.2">
      <c r="A31" s="38"/>
      <c r="B31" s="39"/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A32" s="38"/>
      <c r="B32" s="39"/>
      <c r="C32" s="39"/>
      <c r="D32" s="39"/>
      <c r="E32" s="39"/>
      <c r="F32" s="39"/>
      <c r="G32" s="39"/>
      <c r="H32" s="39"/>
      <c r="I32" s="39"/>
      <c r="J32" s="40"/>
    </row>
    <row r="33" spans="1:10" x14ac:dyDescent="0.2">
      <c r="A33" s="38"/>
      <c r="B33" s="39"/>
      <c r="C33" s="39"/>
      <c r="D33" s="39"/>
      <c r="E33" s="39"/>
      <c r="F33" s="39"/>
      <c r="G33" s="39"/>
      <c r="H33" s="39"/>
      <c r="I33" s="39"/>
      <c r="J33" s="40"/>
    </row>
    <row r="34" spans="1:10" x14ac:dyDescent="0.2">
      <c r="A34" s="38"/>
      <c r="B34" s="39"/>
      <c r="C34" s="39"/>
      <c r="D34" s="39"/>
      <c r="E34" s="39"/>
      <c r="F34" s="39"/>
      <c r="G34" s="39"/>
      <c r="H34" s="39"/>
      <c r="I34" s="39"/>
      <c r="J34" s="40"/>
    </row>
    <row r="35" spans="1:10" x14ac:dyDescent="0.2">
      <c r="A35" s="38"/>
      <c r="B35" s="39"/>
      <c r="C35" s="39"/>
      <c r="D35" s="39"/>
      <c r="E35" s="39"/>
      <c r="F35" s="39"/>
      <c r="G35" s="39"/>
      <c r="H35" s="39"/>
      <c r="I35" s="39"/>
      <c r="J35" s="40"/>
    </row>
    <row r="36" spans="1:10" x14ac:dyDescent="0.2">
      <c r="A36" s="38"/>
      <c r="B36" s="39"/>
      <c r="C36" s="39"/>
      <c r="D36" s="39"/>
      <c r="E36" s="39"/>
      <c r="F36" s="39"/>
      <c r="G36" s="39"/>
      <c r="H36" s="39"/>
      <c r="I36" s="39"/>
      <c r="J36" s="40"/>
    </row>
    <row r="37" spans="1:10" x14ac:dyDescent="0.2">
      <c r="A37" s="41"/>
      <c r="B37" s="42"/>
      <c r="C37" s="42"/>
      <c r="D37" s="42"/>
      <c r="E37" s="42"/>
      <c r="F37" s="42"/>
      <c r="G37" s="42"/>
      <c r="H37" s="42"/>
      <c r="I37" s="42"/>
      <c r="J37" s="43"/>
    </row>
    <row r="38" spans="1:10" ht="16.5" x14ac:dyDescent="0.2">
      <c r="A38" s="44" t="s">
        <v>119</v>
      </c>
      <c r="B38" s="44"/>
      <c r="C38" s="45" t="s">
        <v>13</v>
      </c>
      <c r="D38" s="46"/>
      <c r="E38" s="46"/>
      <c r="F38" s="46"/>
      <c r="G38" s="46"/>
      <c r="H38" s="46"/>
      <c r="I38" s="46"/>
      <c r="J38" s="47"/>
    </row>
  </sheetData>
  <mergeCells count="20">
    <mergeCell ref="A10:J11"/>
    <mergeCell ref="A12:B12"/>
    <mergeCell ref="C12:J12"/>
    <mergeCell ref="A13:J37"/>
    <mergeCell ref="A38:B38"/>
    <mergeCell ref="C38:J38"/>
    <mergeCell ref="A5:B5"/>
    <mergeCell ref="C5:E5"/>
    <mergeCell ref="F5:G5"/>
    <mergeCell ref="H5:J5"/>
    <mergeCell ref="A8:J8"/>
    <mergeCell ref="A9:B9"/>
    <mergeCell ref="C9:J9"/>
    <mergeCell ref="A2:J2"/>
    <mergeCell ref="A3:B3"/>
    <mergeCell ref="C3:J3"/>
    <mergeCell ref="A4:B4"/>
    <mergeCell ref="C4:E4"/>
    <mergeCell ref="F4:G4"/>
    <mergeCell ref="H4:J4"/>
  </mergeCells>
  <phoneticPr fontId="5" type="noConversion"/>
  <dataValidations count="1">
    <dataValidation type="list" allowBlank="1" showInputMessage="1" showErrorMessage="1" sqref="C5:E5 H5:J5" xr:uid="{6938EDD8-3914-4FB9-84A0-2FDDFADA76F1}">
      <formula1>#REF!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82</vt:i4>
      </vt:variant>
      <vt:variant>
        <vt:lpstr>이름 지정된 범위</vt:lpstr>
      </vt:variant>
      <vt:variant>
        <vt:i4>1</vt:i4>
      </vt:variant>
    </vt:vector>
  </HeadingPairs>
  <TitlesOfParts>
    <vt:vector size="83" baseType="lpstr">
      <vt:lpstr>TestCase</vt:lpstr>
      <vt:lpstr>TC MAP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61</vt:lpstr>
      <vt:lpstr>62</vt:lpstr>
      <vt:lpstr>63</vt:lpstr>
      <vt:lpstr>64</vt:lpstr>
      <vt:lpstr>65</vt:lpstr>
      <vt:lpstr>66</vt:lpstr>
      <vt:lpstr>67</vt:lpstr>
      <vt:lpstr>68</vt:lpstr>
      <vt:lpstr>69</vt:lpstr>
      <vt:lpstr>70</vt:lpstr>
      <vt:lpstr>71</vt:lpstr>
      <vt:lpstr>72</vt:lpstr>
      <vt:lpstr>73</vt:lpstr>
      <vt:lpstr>74</vt:lpstr>
      <vt:lpstr>75</vt:lpstr>
      <vt:lpstr>76</vt:lpstr>
      <vt:lpstr>77</vt:lpstr>
      <vt:lpstr>78</vt:lpstr>
      <vt:lpstr>79</vt:lpstr>
      <vt:lpstr>80</vt:lpstr>
      <vt:lpstr>TestCase!머릿글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허준</dc:creator>
  <cp:lastModifiedBy>HJW</cp:lastModifiedBy>
  <dcterms:created xsi:type="dcterms:W3CDTF">2025-09-15T15:28:01Z</dcterms:created>
  <dcterms:modified xsi:type="dcterms:W3CDTF">2025-12-06T13:20:07Z</dcterms:modified>
</cp:coreProperties>
</file>