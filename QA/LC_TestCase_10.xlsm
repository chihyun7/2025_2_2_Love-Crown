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H109\Downloads\"/>
    </mc:Choice>
  </mc:AlternateContent>
  <bookViews>
    <workbookView xWindow="0" yWindow="0" windowWidth="23040" windowHeight="8988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  <sheet name="51" sheetId="154" r:id="rId53"/>
    <sheet name="52" sheetId="155" r:id="rId54"/>
    <sheet name="53" sheetId="156" r:id="rId55"/>
    <sheet name="54" sheetId="157" r:id="rId56"/>
    <sheet name="55" sheetId="158" r:id="rId57"/>
    <sheet name="56" sheetId="159" r:id="rId58"/>
    <sheet name="57" sheetId="160" r:id="rId59"/>
    <sheet name="58" sheetId="161" r:id="rId60"/>
    <sheet name="59" sheetId="162" r:id="rId61"/>
    <sheet name="60" sheetId="163" r:id="rId62"/>
  </sheets>
  <definedNames>
    <definedName name="머릿글" localSheetId="0">TestCase!$B$1:$K$1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163" l="1" a="1"/>
  <c r="K1" i="163" s="1"/>
  <c r="C3" i="163" s="1" a="1"/>
  <c r="C3" i="163" s="1"/>
  <c r="K1" i="162" a="1"/>
  <c r="K1" i="162" s="1"/>
  <c r="C3" i="162" s="1" a="1"/>
  <c r="C3" i="162" s="1"/>
  <c r="K1" i="161" a="1"/>
  <c r="K1" i="161" s="1"/>
  <c r="C3" i="161" s="1" a="1"/>
  <c r="C3" i="161" s="1"/>
  <c r="K1" i="160" a="1"/>
  <c r="K1" i="160" s="1"/>
  <c r="C3" i="160" s="1" a="1"/>
  <c r="C3" i="160" s="1"/>
  <c r="K1" i="159" a="1"/>
  <c r="K1" i="159" s="1"/>
  <c r="C3" i="159" s="1" a="1"/>
  <c r="C3" i="159" s="1"/>
  <c r="K1" i="158" a="1"/>
  <c r="K1" i="158" s="1"/>
  <c r="C3" i="158" s="1" a="1"/>
  <c r="C3" i="158" s="1"/>
  <c r="K1" i="157" a="1"/>
  <c r="K1" i="157" s="1"/>
  <c r="C3" i="157" s="1" a="1"/>
  <c r="C3" i="157" s="1"/>
  <c r="K1" i="156" a="1"/>
  <c r="K1" i="156" s="1"/>
  <c r="C3" i="156" s="1" a="1"/>
  <c r="C3" i="156" s="1"/>
  <c r="K1" i="155" a="1"/>
  <c r="K1" i="155" s="1"/>
  <c r="C3" i="155" s="1" a="1"/>
  <c r="C3" i="155" s="1"/>
  <c r="K1" i="154" a="1"/>
  <c r="K1" i="154" s="1"/>
  <c r="C3" i="154" s="1" a="1"/>
  <c r="C3" i="154" s="1"/>
  <c r="A44" i="1"/>
  <c r="A43" i="1"/>
  <c r="A42" i="1"/>
  <c r="A41" i="1"/>
  <c r="A60" i="1"/>
  <c r="A50" i="1"/>
  <c r="A49" i="1"/>
  <c r="A48" i="1"/>
  <c r="A47" i="1"/>
  <c r="A46" i="1"/>
  <c r="A45" i="1"/>
  <c r="A68" i="1" l="1"/>
  <c r="A67" i="1"/>
  <c r="A66" i="1"/>
  <c r="A65" i="1"/>
  <c r="A64" i="1"/>
  <c r="A63" i="1"/>
  <c r="A62" i="1"/>
  <c r="A61" i="1"/>
  <c r="A59" i="1"/>
  <c r="A58" i="1"/>
  <c r="A57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4" i="1" s="1"/>
  <c r="L35" i="1" s="1"/>
  <c r="L36" i="1" s="1"/>
  <c r="L37" i="1" s="1"/>
  <c r="L30" i="1"/>
  <c r="L33" i="1" s="1"/>
  <c r="L6" i="1"/>
  <c r="L7" i="1" s="1"/>
  <c r="L8" i="1" s="1"/>
  <c r="L9" i="1" s="1"/>
  <c r="L10" i="1" s="1"/>
  <c r="L38" i="1" l="1"/>
  <c r="L61" i="1"/>
  <c r="L12" i="1"/>
  <c r="L11" i="1"/>
  <c r="L13" i="1" s="1"/>
  <c r="L2" i="1"/>
  <c r="L3" i="1" s="1"/>
  <c r="L4" i="1" s="1"/>
  <c r="L5" i="1" s="1"/>
  <c r="I3" i="2"/>
  <c r="L39" i="1" l="1"/>
  <c r="L62" i="1"/>
  <c r="L40" i="1" l="1"/>
  <c r="L41" i="1" s="1"/>
  <c r="L42" i="1" s="1"/>
  <c r="L43" i="1" s="1"/>
  <c r="L44" i="1" s="1"/>
  <c r="L45" i="1" s="1"/>
  <c r="G4" i="2"/>
  <c r="G5" i="2"/>
  <c r="G3" i="2"/>
  <c r="L63" i="1" l="1"/>
  <c r="G6" i="2"/>
  <c r="F4" i="2"/>
  <c r="F5" i="2"/>
  <c r="F3" i="2"/>
  <c r="L46" i="1" l="1"/>
  <c r="L64" i="1"/>
  <c r="F6" i="2"/>
  <c r="H4" i="2"/>
  <c r="H5" i="2"/>
  <c r="H3" i="2"/>
  <c r="L47" i="1" l="1"/>
  <c r="L48" i="1" s="1"/>
  <c r="L49" i="1" s="1"/>
  <c r="L50" i="1" s="1"/>
  <c r="L57" i="1" s="1"/>
  <c r="L58" i="1" s="1"/>
  <c r="L59" i="1" s="1"/>
  <c r="L60" i="1" s="1"/>
  <c r="L65" i="1"/>
  <c r="E3" i="2"/>
  <c r="E5" i="2"/>
  <c r="H6" i="2"/>
  <c r="D5" i="2"/>
  <c r="D4" i="2"/>
  <c r="D3" i="2"/>
  <c r="B4" i="2"/>
  <c r="B3" i="2" l="1"/>
  <c r="J3" i="2" s="1"/>
  <c r="B5" i="2"/>
  <c r="E4" i="2"/>
  <c r="I4" i="2" s="1"/>
  <c r="J4" i="2" s="1"/>
  <c r="I5" i="2"/>
  <c r="D6" i="2"/>
  <c r="B6" i="2" l="1"/>
  <c r="C3" i="2" s="1"/>
  <c r="E6" i="2"/>
  <c r="J5" i="2"/>
  <c r="I6" i="2"/>
  <c r="E7" i="2" l="1"/>
  <c r="C4" i="2"/>
  <c r="F7" i="2"/>
  <c r="H7" i="2"/>
  <c r="C5" i="2"/>
  <c r="G7" i="2"/>
  <c r="D7" i="2"/>
  <c r="I7" i="2"/>
  <c r="C3" i="3" a="1"/>
  <c r="C3" i="3" s="1"/>
  <c r="C6" i="2" l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<sst xmlns="http://schemas.openxmlformats.org/spreadsheetml/2006/main" count="1218" uniqueCount="271">
  <si>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</si>
  <si>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</si>
  <si>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</si>
  <si>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</si>
  <si>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</si>
  <si>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</si>
  <si>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</si>
  <si>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</si>
  <si>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</si>
  <si>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</si>
  <si>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</si>
  <si>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</si>
  <si>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</si>
  <si>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</si>
  <si>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</si>
  <si>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</si>
  <si>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</si>
  <si>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</si>
  <si>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</si>
  <si>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</si>
  <si>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</si>
  <si>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</si>
  <si>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</si>
  <si>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</si>
  <si>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</si>
  <si>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</si>
  <si>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</si>
  <si>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</si>
  <si>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</si>
  <si>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</si>
  <si>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8" type="noConversion"/>
  </si>
  <si>
    <r>
      <t xml:space="preserve">1. "Love Crown.exe" </t>
    </r>
    <r>
      <rPr>
        <sz val="9"/>
        <rFont val="맑은 고딕"/>
        <family val="3"/>
        <charset val="129"/>
      </rPr>
      <t>파일실행</t>
    </r>
    <phoneticPr fontId="8" type="noConversion"/>
  </si>
  <si>
    <r>
      <rPr>
        <sz val="9"/>
        <rFont val="Verdana"/>
        <family val="3"/>
      </rPr>
      <t>Love Crown</t>
    </r>
    <r>
      <rPr>
        <sz val="9"/>
        <rFont val="Arial Unicode MS"/>
        <family val="3"/>
        <charset val="129"/>
      </rPr>
      <t>이 실행된다</t>
    </r>
    <phoneticPr fontId="8" type="noConversion"/>
  </si>
  <si>
    <r>
      <rPr>
        <b/>
        <sz val="9"/>
        <rFont val="맑은 고딕"/>
        <family val="3"/>
        <charset val="129"/>
      </rPr>
      <t>테스트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조건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</si>
  <si>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종료된다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</si>
  <si>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r>
      <rPr>
        <sz val="9"/>
        <rFont val="Verdana"/>
        <family val="2"/>
      </rPr>
      <t xml:space="preserve">
2.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작업표시줄에서</t>
    </r>
    <r>
      <rPr>
        <sz val="9"/>
        <rFont val="Verdana"/>
        <family val="2"/>
      </rPr>
      <t xml:space="preserve"> </t>
    </r>
    <r>
      <rPr>
        <sz val="9"/>
        <rFont val="Verdana"/>
        <family val="3"/>
      </rPr>
      <t>Love  Crown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</si>
  <si>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r>
      <rPr>
        <sz val="9"/>
        <rFont val="맑은 고딕"/>
        <family val="3"/>
        <charset val="129"/>
      </rPr>
      <t>제목표시줄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내용을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확인한다</t>
    </r>
    <phoneticPr fontId="8" type="noConversion"/>
  </si>
  <si>
    <t>게임실행</t>
    <phoneticPr fontId="8" type="noConversion"/>
  </si>
  <si>
    <r>
      <rPr>
        <sz val="9"/>
        <rFont val="맑은 고딕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실행한다</t>
    </r>
    <phoneticPr fontId="8" type="noConversion"/>
  </si>
  <si>
    <t>상점 시스템</t>
    <phoneticPr fontId="8" type="noConversion"/>
  </si>
  <si>
    <t>게임 기능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</si>
  <si>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대화한다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</si>
  <si>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되었다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복구된다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</si>
  <si>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닫기버튼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</si>
  <si>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t>상점에서 아이템 구매 확인창이 뜨는지 확인한다</t>
    <phoneticPr fontId="8" type="noConversion"/>
  </si>
  <si>
    <r>
      <rPr>
        <sz val="9"/>
        <rFont val="Arial Unicode MS"/>
        <family val="2"/>
        <charset val="129"/>
      </rPr>
      <t xml:space="preserve">상점 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  및 아이템 리스트가 화면에 출럭된다</t>
    </r>
    <phoneticPr fontId="8" type="noConversion"/>
  </si>
  <si>
    <t>아이템 구매 확인창에서 "네"를 선택한다</t>
    <phoneticPr fontId="8" type="noConversion"/>
  </si>
  <si>
    <t>아이템 구매 확인창에서 "아니오"를  선택한다</t>
    <phoneticPr fontId="8" type="noConversion"/>
  </si>
  <si>
    <t>1. 아이템이 구매되지 않는다
2. 아이템 구매 확인창이 닫히고 상점 UI로 돌아간다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</si>
  <si>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닫히는지 확인한다</t>
    </r>
    <phoneticPr fontId="8" type="noConversion"/>
  </si>
  <si>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 닫히고 기존 화면으로 돌아간다</t>
    </r>
    <phoneticPr fontId="8" type="noConversion"/>
  </si>
  <si>
    <t>플레이어의 이동이 제한된다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</si>
  <si>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를 닫은 후 플레이어 이동</t>
    </r>
    <r>
      <rPr>
        <sz val="9"/>
        <rFont val="Verdana"/>
        <family val="2"/>
        <charset val="129"/>
      </rPr>
      <t xml:space="preserve"> </t>
    </r>
    <r>
      <rPr>
        <sz val="9"/>
        <rFont val="Arial Unicode MS"/>
        <family val="2"/>
        <charset val="129"/>
      </rPr>
      <t>제한이 해제된다</t>
    </r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</si>
  <si>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 동안 플레이어 이동이 제한된다</t>
    </r>
    <phoneticPr fontId="8" type="noConversion"/>
  </si>
  <si>
    <t>플레이어의 이동 제한이 해제된다</t>
    <phoneticPr fontId="8" type="noConversion"/>
  </si>
  <si>
    <t>아이템 구매 시 재화가 차감된다</t>
    <phoneticPr fontId="8" type="noConversion"/>
  </si>
  <si>
    <t>아이템의 가격에 따라 해당 가격만큼 재화가 차감된다</t>
    <phoneticPr fontId="8" type="noConversion"/>
  </si>
  <si>
    <t>1. 아이템이 구매된다
2. 아이템 구매 확인창이 닫히고 상점 UI로 돌아간다</t>
    <phoneticPr fontId="8" type="noConversion"/>
  </si>
  <si>
    <t>아이템 구매 후 인벤토리에 아이템이 추가된다</t>
    <phoneticPr fontId="8" type="noConversion"/>
  </si>
  <si>
    <t>인벤토리 시스템</t>
    <phoneticPr fontId="8" type="noConversion"/>
  </si>
  <si>
    <t>인벤토리 창을 활성화 한다</t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</si>
  <si>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</si>
  <si>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창을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</si>
  <si>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된다</t>
    </r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</si>
  <si>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출력되는 중 플레이어가 이동가능 여부를 확인한다</t>
    </r>
    <phoneticPr fontId="8" type="noConversion"/>
  </si>
  <si>
    <t>구매한 아이템이 인벤토리에 추가된다</t>
    <phoneticPr fontId="8" type="noConversion"/>
  </si>
  <si>
    <t>일반 NPC에게 아이템을 사용 후 해당 아이템이 인벤토리 창에서 차감되는지 확인한다</t>
    <phoneticPr fontId="8" type="noConversion"/>
  </si>
  <si>
    <r>
      <t xml:space="preserve"> "{</t>
    </r>
    <r>
      <rPr>
        <sz val="9"/>
        <rFont val="Arial Unicode MS"/>
        <family val="2"/>
        <charset val="129"/>
      </rPr>
      <t>아이템이름</t>
    </r>
    <r>
      <rPr>
        <sz val="9"/>
        <rFont val="Verdana"/>
        <family val="2"/>
      </rPr>
      <t xml:space="preserve">} 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구매하시겠습니까</t>
    </r>
    <r>
      <rPr>
        <sz val="9"/>
        <rFont val="Verdana"/>
        <family val="2"/>
      </rPr>
      <t xml:space="preserve">?" </t>
    </r>
    <r>
      <rPr>
        <sz val="9"/>
        <rFont val="Arial Unicode MS"/>
        <family val="2"/>
        <charset val="129"/>
      </rPr>
      <t>텍스트와 "네 / 아니오" 버튼이 화면에 출력된다</t>
    </r>
    <phoneticPr fontId="8" type="noConversion"/>
  </si>
  <si>
    <t>플레이어의 모든 이동이 활성화 되어 있다</t>
    <phoneticPr fontId="8" type="noConversion"/>
  </si>
  <si>
    <t>아이템 사용 후 인벤토리에서 해당 아이템이 차감된다</t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</si>
  <si>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타이틀바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</si>
  <si>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NPC</t>
    </r>
    <r>
      <rPr>
        <sz val="9"/>
        <rFont val="Arial Unicode MS"/>
        <family val="2"/>
        <charset val="129"/>
      </rPr>
      <t>의 앞에서 "</t>
    </r>
    <r>
      <rPr>
        <sz val="9"/>
        <rFont val="Verdana"/>
        <family val="2"/>
      </rPr>
      <t>E"</t>
    </r>
    <r>
      <rPr>
        <sz val="9"/>
        <rFont val="Arial Unicode MS"/>
        <family val="2"/>
        <charset val="129"/>
      </rPr>
      <t xml:space="preserve">키를 눌러 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</si>
  <si>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화면에 출력되는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</si>
  <si>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</si>
  <si>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상태에서</t>
    </r>
    <r>
      <rPr>
        <sz val="9"/>
        <rFont val="Verdana"/>
        <family val="2"/>
      </rPr>
      <t xml:space="preserve"> Escape</t>
    </r>
    <r>
      <rPr>
        <sz val="9"/>
        <rFont val="Arial Unicode MS"/>
        <family val="2"/>
        <charset val="129"/>
      </rPr>
      <t>키 입력
2. 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</si>
  <si>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상점의 아이템 리스트에서 아이템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</si>
  <si>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 구매 확인창에서 "네"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</si>
  <si>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 아이템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확인창에서</t>
    </r>
    <r>
      <rPr>
        <sz val="9"/>
        <rFont val="Verdana"/>
        <family val="2"/>
      </rPr>
      <t xml:space="preserve"> "</t>
    </r>
    <r>
      <rPr>
        <sz val="9"/>
        <rFont val="Arial Unicode MS"/>
        <family val="2"/>
        <charset val="129"/>
      </rPr>
      <t>아니오"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</si>
  <si>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아이템을 구매
2.  구매한 값 만큼의 재화가 차감되는지 확인</t>
    </r>
    <phoneticPr fontId="8" type="noConversion"/>
  </si>
  <si>
    <r>
      <t>1. B</t>
    </r>
    <r>
      <rPr>
        <sz val="9"/>
        <rFont val="Arial Unicode MS"/>
        <family val="2"/>
        <charset val="129"/>
      </rPr>
      <t>키를 눌러 인벤토리 창을 활성화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</si>
  <si>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출력된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</si>
  <si>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인벤토리 UI가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</si>
  <si>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인벤토리를 열어 구매한 아이템이 인벤토리에 추가 여부를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</si>
  <si>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아이템을 소지한 채로 일반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
2.  대화를 마친 후 인벤토리 창을 열고 아이템의 차감 여부를 확인</t>
    </r>
    <phoneticPr fontId="8" type="noConversion"/>
  </si>
  <si>
    <t>호감도 시스템</t>
    <phoneticPr fontId="8" type="noConversion"/>
  </si>
  <si>
    <t>멀티 시스템</t>
    <phoneticPr fontId="8" type="noConversion"/>
  </si>
  <si>
    <t>게임 시작 버튼을 누른다</t>
    <phoneticPr fontId="8" type="noConversion"/>
  </si>
  <si>
    <t>설정 버튼을 누른다</t>
    <phoneticPr fontId="8" type="noConversion"/>
  </si>
  <si>
    <t>게임 종료 버튼을 누른다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</si>
  <si>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 시작 버튼을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</si>
  <si>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설정 버튼을 클릭</t>
    </r>
    <phoneticPr fontId="8" type="noConversion"/>
  </si>
  <si>
    <t>1. 게임 종료 버튼을 클릭</t>
    <phoneticPr fontId="8" type="noConversion"/>
  </si>
  <si>
    <r>
      <rPr>
        <sz val="9"/>
        <rFont val="Arial Unicode MS"/>
        <family val="2"/>
        <charset val="129"/>
      </rPr>
      <t xml:space="preserve">방 생성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으로 넘어간다</t>
    </r>
    <phoneticPr fontId="8" type="noConversion"/>
  </si>
  <si>
    <r>
      <rPr>
        <sz val="9"/>
        <rFont val="Arial Unicode MS"/>
        <family val="2"/>
        <charset val="129"/>
      </rPr>
      <t xml:space="preserve">설정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표시된다</t>
    </r>
    <phoneticPr fontId="8" type="noConversion"/>
  </si>
  <si>
    <t>게임이 종료된다</t>
    <phoneticPr fontId="8" type="noConversion"/>
  </si>
  <si>
    <t>소리</t>
    <phoneticPr fontId="8" type="noConversion"/>
  </si>
  <si>
    <r>
      <t>Exit</t>
    </r>
    <r>
      <rPr>
        <sz val="9"/>
        <rFont val="Arial Unicode MS"/>
        <family val="2"/>
        <charset val="129"/>
      </rPr>
      <t>를 누른다</t>
    </r>
    <phoneticPr fontId="8" type="noConversion"/>
  </si>
  <si>
    <t>사운드 볼륨을 조절한다</t>
    <phoneticPr fontId="8" type="noConversion"/>
  </si>
  <si>
    <t>볼룸이 커지거나 작아진다</t>
    <phoneticPr fontId="8" type="noConversion"/>
  </si>
  <si>
    <t>N/T</t>
    <phoneticPr fontId="8" type="noConversion"/>
  </si>
  <si>
    <r>
      <t xml:space="preserve">1. Exit </t>
    </r>
    <r>
      <rPr>
        <sz val="9"/>
        <rFont val="Arial Unicode MS"/>
        <family val="2"/>
        <charset val="129"/>
      </rPr>
      <t>버튼을 클릭한다</t>
    </r>
    <phoneticPr fontId="8" type="noConversion"/>
  </si>
  <si>
    <t>설정 UI가 닫힌다</t>
    <phoneticPr fontId="8" type="noConversion"/>
  </si>
  <si>
    <t>볼륨을 올린다</t>
    <phoneticPr fontId="8" type="noConversion"/>
  </si>
  <si>
    <r>
      <rPr>
        <sz val="9"/>
        <rFont val="Arial Unicode MS"/>
        <family val="2"/>
        <charset val="129"/>
      </rPr>
      <t>볼륨을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내린다</t>
    </r>
    <phoneticPr fontId="8" type="noConversion"/>
  </si>
  <si>
    <t>볼륨이 커진다</t>
    <phoneticPr fontId="8" type="noConversion"/>
  </si>
  <si>
    <t>볼륨이 작아진다</t>
    <phoneticPr fontId="8" type="noConversion"/>
  </si>
  <si>
    <t>플레이어 이름을 입력한다</t>
    <phoneticPr fontId="8" type="noConversion"/>
  </si>
  <si>
    <t>방 이름을 입력한다</t>
    <phoneticPr fontId="8" type="noConversion"/>
  </si>
  <si>
    <t>플레이어 이름이 입력된다</t>
    <phoneticPr fontId="8" type="noConversion"/>
  </si>
  <si>
    <t>방 이름이 입력된다</t>
    <phoneticPr fontId="8" type="noConversion"/>
  </si>
  <si>
    <t>방을 생성한다</t>
    <phoneticPr fontId="8" type="noConversion"/>
  </si>
  <si>
    <t>생성된 방에 참가한다</t>
    <phoneticPr fontId="8" type="noConversion"/>
  </si>
  <si>
    <r>
      <rPr>
        <sz val="9"/>
        <rFont val="Verdana"/>
        <family val="2"/>
      </rPr>
      <t>LobbyScene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</si>
  <si>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GameScene</t>
    </r>
    <r>
      <rPr>
        <sz val="9"/>
        <rFont val="Arial Unicode MS"/>
        <family val="2"/>
        <charset val="129"/>
      </rPr>
      <t>에서 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</si>
  <si>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</si>
  <si>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 / 설정 UI에서 실행</t>
    </r>
    <phoneticPr fontId="8" type="noConversion"/>
  </si>
  <si>
    <t>게임을 시작한다</t>
    <phoneticPr fontId="8" type="noConversion"/>
  </si>
  <si>
    <t>플레이어 이름을 입력하지 않고 방을 생성 / 참가 한다</t>
    <phoneticPr fontId="8" type="noConversion"/>
  </si>
  <si>
    <t>방 이름을 입력하지 않고 방을 생성 / 참가 한다</t>
    <phoneticPr fontId="8" type="noConversion"/>
  </si>
  <si>
    <t>생성된 방에 참가되고 해당 방의 플레이어 리스트가 표시된다</t>
    <phoneticPr fontId="8" type="noConversion"/>
  </si>
  <si>
    <t>방 이름에 맞게 방이 생성되고 해당 방의 플레이어 리스트가 표시된다</t>
    <phoneticPr fontId="8" type="noConversion"/>
  </si>
  <si>
    <t>해당 방에 참가한 플레이어들이 GameScene으로 진입한다</t>
    <phoneticPr fontId="8" type="noConversion"/>
  </si>
  <si>
    <t>플레이어 이름이  랜덤으로 설정되고 방이 생성된다</t>
    <phoneticPr fontId="8" type="noConversion"/>
  </si>
  <si>
    <t>방이 생성되지 않는다</t>
    <phoneticPr fontId="8" type="noConversion"/>
  </si>
  <si>
    <r>
      <t>(</t>
    </r>
    <r>
      <rPr>
        <sz val="9"/>
        <rFont val="Arial Unicode MS"/>
        <family val="2"/>
        <charset val="129"/>
      </rPr>
      <t xml:space="preserve">임시) 유니티 아이콘과 </t>
    </r>
    <r>
      <rPr>
        <sz val="9"/>
        <rFont val="Verdana"/>
        <family val="2"/>
      </rPr>
      <t xml:space="preserve">Love Crown </t>
    </r>
    <r>
      <rPr>
        <sz val="9"/>
        <rFont val="Arial Unicode MS"/>
        <family val="2"/>
        <charset val="129"/>
      </rPr>
      <t>제못이 뜬다</t>
    </r>
    <phoneticPr fontId="8" type="noConversion"/>
  </si>
  <si>
    <t>PASS</t>
    <phoneticPr fontId="8" type="noConversion"/>
  </si>
  <si>
    <t>Fail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</si>
  <si>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 xml:space="preserve">Scene </t>
    </r>
    <r>
      <rPr>
        <sz val="9"/>
        <rFont val="Arial Unicode MS"/>
        <family val="2"/>
        <charset val="129"/>
      </rPr>
      <t>별로 사운드가 동일하게 조절되는지 확인한다</t>
    </r>
    <phoneticPr fontId="8" type="noConversion"/>
  </si>
  <si>
    <t>MainScene, GameScene에서 실행</t>
    <phoneticPr fontId="8" type="noConversion"/>
  </si>
  <si>
    <r>
      <t xml:space="preserve">BTL </t>
    </r>
    <r>
      <rPr>
        <sz val="9"/>
        <rFont val="Arial Unicode MS"/>
        <family val="2"/>
        <charset val="129"/>
      </rPr>
      <t>참고</t>
    </r>
    <phoneticPr fontId="8" type="noConversion"/>
  </si>
  <si>
    <r>
      <rPr>
        <sz val="9"/>
        <rFont val="Arial Unicode MS"/>
        <family val="2"/>
        <charset val="129"/>
      </rPr>
      <t xml:space="preserve">인게임 </t>
    </r>
    <r>
      <rPr>
        <sz val="9"/>
        <rFont val="Arial"/>
        <family val="2"/>
      </rPr>
      <t>UI</t>
    </r>
    <phoneticPr fontId="8" type="noConversion"/>
  </si>
  <si>
    <t>모든 텍스트에서 한글 폰트가 정상적으로 나오는지
확인한다</t>
    <phoneticPr fontId="8" type="noConversion"/>
  </si>
  <si>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</si>
  <si>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폰트가 모두 정상적으로 출력된다</t>
    <phoneticPr fontId="8" type="noConversion"/>
  </si>
  <si>
    <r>
      <t xml:space="preserve">BTL </t>
    </r>
    <r>
      <rPr>
        <sz val="9"/>
        <rFont val="돋움"/>
        <family val="2"/>
        <charset val="129"/>
      </rPr>
      <t>참고</t>
    </r>
    <phoneticPr fontId="8" type="noConversion"/>
  </si>
  <si>
    <t>플레이어 이동 관련</t>
    <phoneticPr fontId="8" type="noConversion"/>
  </si>
  <si>
    <t>게임 종료</t>
    <phoneticPr fontId="8" type="noConversion"/>
  </si>
  <si>
    <t>게임메뉴</t>
    <phoneticPr fontId="8" type="noConversion"/>
  </si>
  <si>
    <t>UI</t>
    <phoneticPr fontId="8" type="noConversion"/>
  </si>
  <si>
    <t>호감도가 0으로 표시된다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</si>
  <si>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 대화 시작 시 호감도가 0으로 표시된다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</si>
  <si>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처음으로 대화를 시도
2.  좌측 상단의 호감도가 0으로 표시되는지 확인</t>
    </r>
    <phoneticPr fontId="8" type="noConversion"/>
  </si>
  <si>
    <t>두 Scene에서 동일한 값의 사운드가 출력된다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</si>
  <si>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</si>
  <si>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로비 화면으로 돌아온다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</si>
  <si>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증가하는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</si>
  <si>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증가하는 선택지를 클릭
3.  대화 종료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</si>
  <si>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감소하는 선택지를 클릭한다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</si>
  <si>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불변하는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</si>
  <si>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감소하는 선택지를 클릭
3.  대화 종료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</si>
  <si>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불변하는 선택지를 클릭
3.  대화 종료</t>
    </r>
    <phoneticPr fontId="8" type="noConversion"/>
  </si>
  <si>
    <t>호감도가 증감하지 않는다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</si>
  <si>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상점에서 호감도 아이템을 구매
2.  아이템에 맞는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</si>
  <si>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 이름 칸을 비워두고 플레이어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</si>
  <si>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 이름 칸을 비워두고 방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</si>
  <si>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 xml:space="preserve">클릭
3.  플레이어 </t>
    </r>
    <r>
      <rPr>
        <sz val="9"/>
        <rFont val="Verdana"/>
        <family val="2"/>
      </rPr>
      <t>B</t>
    </r>
    <r>
      <rPr>
        <sz val="9"/>
        <rFont val="Arial Unicode MS"/>
        <family val="2"/>
        <charset val="129"/>
      </rPr>
      <t xml:space="preserve">가 이름 및 방 이름을 입력
4.  </t>
    </r>
    <r>
      <rPr>
        <sz val="9"/>
        <rFont val="Verdana"/>
        <family val="2"/>
      </rPr>
      <t>Join Room</t>
    </r>
    <r>
      <rPr>
        <sz val="9"/>
        <rFont val="Arial Unicode MS"/>
        <family val="2"/>
        <charset val="129"/>
      </rPr>
      <t xml:space="preserve">을 클릭
5.  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</t>
    </r>
    <r>
      <rPr>
        <sz val="9"/>
        <rFont val="Verdana"/>
        <family val="2"/>
      </rPr>
      <t>Game Start</t>
    </r>
    <r>
      <rPr>
        <sz val="9"/>
        <rFont val="Arial Unicode MS"/>
        <family val="2"/>
        <charset val="129"/>
      </rPr>
      <t>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</si>
  <si>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및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Join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</si>
  <si>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 클릭</t>
    </r>
    <phoneticPr fontId="8" type="noConversion"/>
  </si>
  <si>
    <r>
      <t xml:space="preserve">1. Room Name </t>
    </r>
    <r>
      <rPr>
        <sz val="9"/>
        <rFont val="Arial Unicode MS"/>
        <family val="2"/>
        <charset val="129"/>
      </rPr>
      <t>칸에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숫자 혹은 문자를 입력</t>
    </r>
    <phoneticPr fontId="8" type="noConversion"/>
  </si>
  <si>
    <r>
      <t xml:space="preserve">1. Player Name </t>
    </r>
    <r>
      <rPr>
        <sz val="9"/>
        <rFont val="Arial Unicode MS"/>
        <family val="2"/>
        <charset val="129"/>
      </rPr>
      <t>칸에 숫자 혹은 문자를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</si>
  <si>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/ 선택지 / 재화 / 호감도 / 아이템 구매 확인창의 한글 텍스트가 정상적으로 출력되는지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</si>
  <si>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불륨을 조절하는 슬라이더를 조절</t>
    </r>
    <phoneticPr fontId="8" type="noConversion"/>
  </si>
  <si>
    <r>
      <t>1. MainScene</t>
    </r>
    <r>
      <rPr>
        <sz val="9"/>
        <rFont val="Arial Unicode MS"/>
        <family val="2"/>
        <charset val="129"/>
      </rPr>
      <t xml:space="preserve">에서 볼륨을 조정
2.  </t>
    </r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 xml:space="preserve">에서 불륨을 조절
3.  두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에서 불륨이 동일한지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</si>
  <si>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슬라이더를 왼쪽으로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</si>
  <si>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슬라이더를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오른쪽으로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</si>
  <si>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타이머가 종료된 후 게임 결과 화면이 출력
3.  로비로 돌아가기 버튼을 클릭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</si>
  <si>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에게 할당된 호감도 아이템을 선물한다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</si>
  <si>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에게 할당되지 않은 호감도 아이템을 선물한다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</si>
  <si>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호감도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아이템에 맞지 않는 NPC와 대화</t>
    </r>
    <phoneticPr fontId="8" type="noConversion"/>
  </si>
  <si>
    <t>아이템이 제거되고 호감도가 증가, 감사 전용 대화창이 출력된다</t>
    <phoneticPr fontId="8" type="noConversion"/>
  </si>
  <si>
    <t>아이템이 제거 및 호감도 증가 X, 거절 전용 대화창이 출력된다</t>
    <phoneticPr fontId="8" type="noConversion"/>
  </si>
  <si>
    <t>로비 화면</t>
    <phoneticPr fontId="8" type="noConversion"/>
  </si>
  <si>
    <t>설정</t>
    <phoneticPr fontId="8" type="noConversion"/>
  </si>
  <si>
    <r>
      <rPr>
        <sz val="9"/>
        <rFont val="Arial Unicode MS"/>
        <family val="2"/>
        <charset val="129"/>
      </rPr>
      <t xml:space="preserve">게임 결과 화면 </t>
    </r>
    <r>
      <rPr>
        <sz val="9"/>
        <rFont val="Arial"/>
        <family val="2"/>
      </rPr>
      <t>UI</t>
    </r>
    <phoneticPr fontId="8" type="noConversion"/>
  </si>
  <si>
    <t>게임 결과 화면이 정상적으로 출력되는지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</si>
  <si>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타이머가 끝나고 게임 결과 화면 출력</t>
    </r>
    <phoneticPr fontId="8" type="noConversion"/>
  </si>
  <si>
    <t>게임 결과 화면이 정상적으로 출력된다</t>
    <phoneticPr fontId="8" type="noConversion"/>
  </si>
  <si>
    <t>타이머가 끝나면 게임이 종료되고 로비 화면으로 돌아간다</t>
    <phoneticPr fontId="8" type="noConversion"/>
  </si>
  <si>
    <t>로비로 돌아간 후 다시 게임을 시작한다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</si>
  <si>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종료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후 로비로 돌아가기 클릭
2.  로비로 돌아온 후 방 생성 및 입장
3.  게임 시작 버튼 클릭</t>
    </r>
    <phoneticPr fontId="8" type="noConversion"/>
  </si>
  <si>
    <t>정상적으로 방이 생성/입장되고 게임이 시작된다</t>
    <phoneticPr fontId="8" type="noConversion"/>
  </si>
  <si>
    <t>타이머</t>
    <phoneticPr fontId="8" type="noConversion"/>
  </si>
  <si>
    <t>타이머 UI</t>
    <phoneticPr fontId="8" type="noConversion"/>
  </si>
  <si>
    <t>타이머가 정상적으로 화면에 출력되는지 확인한다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</si>
  <si>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  <charset val="129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</si>
  <si>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 생성하고 게임을 시작
2.  인게임 화면에서 우측 상단에 타이머가 표시되는지 확인</t>
    </r>
    <phoneticPr fontId="8" type="noConversion"/>
  </si>
  <si>
    <t>타이머가 정상적으로 출력된다</t>
    <phoneticPr fontId="8" type="noConversion"/>
  </si>
  <si>
    <t>타이머의 시간이 정상적으로 줄어드는지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</si>
  <si>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생성 후 게임을 진행
2.  타이머가 1초씩 줄어드는지 확인</t>
    </r>
    <phoneticPr fontId="8" type="noConversion"/>
  </si>
  <si>
    <t>타이머의 시간이 1초씩 정상적으로 줄어든다</t>
    <phoneticPr fontId="8" type="noConversion"/>
  </si>
  <si>
    <r>
      <t>1. NPC</t>
    </r>
    <r>
      <rPr>
        <sz val="9"/>
        <rFont val="Arial Unicode MS"/>
        <family val="2"/>
        <charset val="129"/>
      </rPr>
      <t>와 대화 및 아이템을 사용해 호감도를 올린다</t>
    </r>
    <phoneticPr fontId="8" type="noConversion"/>
  </si>
  <si>
    <t>호감도가 일정수치에 도달하면 해당 플레이어에게 귀속된다</t>
    <phoneticPr fontId="8" type="noConversion"/>
  </si>
  <si>
    <t>호감도가 일정 수치에 도달하면 플레이어에게 귀속된다</t>
    <phoneticPr fontId="8" type="noConversion"/>
  </si>
  <si>
    <t>History</t>
    <phoneticPr fontId="24" type="noConversion"/>
  </si>
  <si>
    <t>Confirm date</t>
    <phoneticPr fontId="24" type="noConversion"/>
  </si>
  <si>
    <t>Writer</t>
    <phoneticPr fontId="24" type="noConversion"/>
  </si>
  <si>
    <t>한재원</t>
    <phoneticPr fontId="24" type="noConversion"/>
  </si>
  <si>
    <t>Importance</t>
    <phoneticPr fontId="24" type="noConversion"/>
  </si>
  <si>
    <t>Mid</t>
  </si>
  <si>
    <t>Device</t>
    <phoneticPr fontId="24" type="noConversion"/>
  </si>
  <si>
    <t>PC(Engine)</t>
  </si>
  <si>
    <t>Detail</t>
    <phoneticPr fontId="24" type="noConversion"/>
  </si>
  <si>
    <t>Comment</t>
    <phoneticPr fontId="24" type="noConversion"/>
  </si>
  <si>
    <t>Screen shot</t>
    <phoneticPr fontId="24" type="noConversion"/>
  </si>
  <si>
    <t>P/F</t>
    <phoneticPr fontId="24" type="noConversion"/>
  </si>
  <si>
    <t>Issue</t>
    <phoneticPr fontId="24" type="noConversion"/>
  </si>
  <si>
    <t>최소화</t>
    <phoneticPr fontId="8" type="noConversion"/>
  </si>
  <si>
    <r>
      <t>W(앞으로가기</t>
    </r>
    <r>
      <rPr>
        <sz val="9"/>
        <rFont val="돋움"/>
        <family val="2"/>
        <charset val="129"/>
      </rPr>
      <t>) 를 누른다</t>
    </r>
    <phoneticPr fontId="8" type="noConversion"/>
  </si>
  <si>
    <t>앞으로 가진다</t>
    <phoneticPr fontId="8" type="noConversion"/>
  </si>
  <si>
    <t>Pass</t>
    <phoneticPr fontId="8" type="noConversion"/>
  </si>
  <si>
    <r>
      <t>S(</t>
    </r>
    <r>
      <rPr>
        <sz val="9"/>
        <rFont val="맑은 고딕"/>
        <family val="3"/>
        <charset val="129"/>
      </rPr>
      <t>뒤로가기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</si>
  <si>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S키를 입력</t>
    </r>
    <phoneticPr fontId="8" type="noConversion"/>
  </si>
  <si>
    <t>뒤로 가진다</t>
    <phoneticPr fontId="8" type="noConversion"/>
  </si>
  <si>
    <r>
      <t>A(</t>
    </r>
    <r>
      <rPr>
        <sz val="9"/>
        <rFont val="돋움"/>
        <family val="2"/>
        <charset val="129"/>
      </rPr>
      <t>왼쪽으로</t>
    </r>
    <r>
      <rPr>
        <sz val="9"/>
        <rFont val="맑은 고딕"/>
        <family val="3"/>
        <charset val="129"/>
      </rPr>
      <t>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</si>
  <si>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A키를 입력</t>
    </r>
    <phoneticPr fontId="8" type="noConversion"/>
  </si>
  <si>
    <t>왼쪽으로 가진다</t>
    <phoneticPr fontId="8" type="noConversion"/>
  </si>
  <si>
    <r>
      <t>D(</t>
    </r>
    <r>
      <rPr>
        <sz val="9"/>
        <rFont val="맑은 고딕"/>
        <family val="3"/>
        <charset val="129"/>
      </rPr>
      <t>오른쪽으로가기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</si>
  <si>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D키를 입력</t>
    </r>
    <phoneticPr fontId="8" type="noConversion"/>
  </si>
  <si>
    <t>오른쪽으로 가진다</t>
    <phoneticPr fontId="8" type="noConversion"/>
  </si>
  <si>
    <r>
      <t>스페이스바(</t>
    </r>
    <r>
      <rPr>
        <sz val="9"/>
        <rFont val="맑은 고딕"/>
        <family val="3"/>
        <charset val="129"/>
      </rPr>
      <t>점프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</si>
  <si>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스페이스바 키를 입력</t>
    </r>
    <phoneticPr fontId="8" type="noConversion"/>
  </si>
  <si>
    <t>점프가 된다</t>
    <phoneticPr fontId="8" type="noConversion"/>
  </si>
  <si>
    <r>
      <t>W를</t>
    </r>
    <r>
      <rPr>
        <sz val="9"/>
        <rFont val="돋움"/>
        <family val="2"/>
        <charset val="129"/>
      </rPr>
      <t xml:space="preserve"> 누르는 중 Shift</t>
    </r>
    <r>
      <rPr>
        <sz val="9"/>
        <rFont val="Verdana"/>
        <family val="2"/>
      </rPr>
      <t>(</t>
    </r>
    <r>
      <rPr>
        <sz val="9"/>
        <rFont val="돋움"/>
        <family val="3"/>
        <charset val="129"/>
      </rPr>
      <t>달리기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</si>
  <si>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 입력중 Shift키를 입력</t>
    </r>
    <phoneticPr fontId="8" type="noConversion"/>
  </si>
  <si>
    <t>이동 속도가 빨라진다</t>
    <phoneticPr fontId="8" type="noConversion"/>
  </si>
  <si>
    <t>각 NPC의 이름이 NPC 오브젝트 상단에 표시된다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</si>
  <si>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</rPr>
      <t>NPC</t>
    </r>
    <r>
      <rPr>
        <sz val="9"/>
        <rFont val="Arial Unicode MS"/>
        <family val="2"/>
        <charset val="129"/>
      </rPr>
      <t>의 근처로 가기
3. NPC의 이름이 정상적으로 출력되는지 확인</t>
    </r>
    <phoneticPr fontId="8" type="noConversion"/>
  </si>
  <si>
    <t>각 NPC의 이름이 정상적으로 화면에 표시된다</t>
    <phoneticPr fontId="8" type="noConversion"/>
  </si>
  <si>
    <t>기타</t>
    <phoneticPr fontId="8" type="noConversion"/>
  </si>
  <si>
    <t>맵 관련</t>
    <phoneticPr fontId="8" type="noConversion"/>
  </si>
  <si>
    <t>맵이 정상적으로 화면에 보이는지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</si>
  <si>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시작
2.  배치된 맵들이 정상적으로 보이는지 확인</t>
    </r>
    <phoneticPr fontId="8" type="noConversion"/>
  </si>
  <si>
    <t>모든 맵이 정상적으로 화면에 표시된다</t>
    <phoneticPr fontId="8" type="noConversion"/>
  </si>
  <si>
    <t>맵 내에 뚫리는 곳이 있는지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</si>
  <si>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맵을 돌아다니기
3.  맵의 모든 구석, 사물 등 뚫리는지 확인</t>
    </r>
    <phoneticPr fontId="8" type="noConversion"/>
  </si>
  <si>
    <t>맵 내에 뚫리는 장소가 없다</t>
    <phoneticPr fontId="8" type="noConversion"/>
  </si>
  <si>
    <r>
      <t xml:space="preserve">NPC </t>
    </r>
    <r>
      <rPr>
        <sz val="9"/>
        <rFont val="Arial Unicode MS"/>
        <family val="2"/>
        <charset val="129"/>
      </rPr>
      <t>대화</t>
    </r>
    <phoneticPr fontId="8" type="noConversion"/>
  </si>
  <si>
    <t>특정 수치만큼 호감도가 증가한다</t>
    <phoneticPr fontId="8" type="noConversion"/>
  </si>
  <si>
    <t>특정 수치만큼 호감도가 감소한다</t>
    <phoneticPr fontId="8" type="noConversion"/>
  </si>
  <si>
    <t>NPC와 일반 대화를 한다</t>
    <phoneticPr fontId="8" type="noConversion"/>
  </si>
  <si>
    <t>NPC와 대화가 중복 실행되는지 확인한다</t>
    <phoneticPr fontId="8" type="noConversion"/>
  </si>
  <si>
    <t>대화창 텍스트가 정상적으로 출력되는지 확인한다</t>
    <phoneticPr fontId="8" type="noConversion"/>
  </si>
  <si>
    <t>대화 중 다음 대화로 넘어간다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</si>
  <si>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선물</t>
    </r>
    <r>
      <rPr>
        <sz val="9"/>
        <rFont val="Verdana"/>
        <family val="2"/>
      </rPr>
      <t>/</t>
    </r>
    <r>
      <rPr>
        <sz val="9"/>
        <rFont val="Arial Unicode MS"/>
        <family val="2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등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조건이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</t>
    </r>
    <r>
      <rPr>
        <sz val="9"/>
        <rFont val="Verdana"/>
        <family val="2"/>
      </rPr>
      <t xml:space="preserve">
2. NPC</t>
    </r>
    <r>
      <rPr>
        <sz val="9"/>
        <rFont val="Arial Unicode MS"/>
        <family val="2"/>
        <charset val="129"/>
      </rPr>
      <t>에게</t>
    </r>
    <r>
      <rPr>
        <sz val="9"/>
        <rFont val="Verdana"/>
        <family val="2"/>
      </rPr>
      <t xml:space="preserve"> 'E' </t>
    </r>
    <r>
      <rPr>
        <sz val="9"/>
        <rFont val="Arial Unicode MS"/>
        <family val="2"/>
        <charset val="129"/>
      </rPr>
      <t>키로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</si>
  <si>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중일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때</t>
    </r>
    <r>
      <rPr>
        <sz val="9"/>
        <rFont val="Verdana"/>
        <family val="2"/>
      </rPr>
      <t xml:space="preserve">
2. 'E' </t>
    </r>
    <r>
      <rPr>
        <sz val="9"/>
        <rFont val="Arial Unicode MS"/>
        <family val="2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반복적으로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</si>
  <si>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</si>
  <si>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시작</t>
    </r>
    <r>
      <rPr>
        <sz val="9"/>
        <rFont val="Verdana"/>
        <family val="2"/>
      </rPr>
      <t xml:space="preserve">
2. Start Dialogue</t>
    </r>
    <r>
      <rPr>
        <sz val="9"/>
        <rFont val="Arial Unicode MS"/>
        <family val="2"/>
        <charset val="129"/>
      </rPr>
      <t>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설정된</t>
    </r>
    <r>
      <rPr>
        <sz val="9"/>
        <rFont val="Verdana"/>
        <family val="2"/>
      </rPr>
      <t xml:space="preserve"> Sentence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</si>
  <si>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스페이스바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있는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선택지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버튼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</si>
  <si>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t>일반 대화창이 출력된다</t>
    <phoneticPr fontId="8" type="noConversion"/>
  </si>
  <si>
    <t>대화 중 반복 실행 되지 않는다</t>
    <phoneticPr fontId="8" type="noConversion"/>
  </si>
  <si>
    <t>대화내용 및  NPC 이름 등 정상적으로 출력된다</t>
    <phoneticPr fontId="8" type="noConversion"/>
  </si>
  <si>
    <t>정상적으로 다음 대화 및 대화 종료가 된다</t>
    <phoneticPr fontId="8" type="noConversion"/>
  </si>
  <si>
    <t>퀘스트 기능</t>
    <phoneticPr fontId="8" type="noConversion"/>
  </si>
  <si>
    <t>퀘스트 전용 대화가 정상적으로 출력되는지 확인한다</t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</si>
  <si>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실행한다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</si>
  <si>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전용 대화가 정상적으로 출력된다</t>
    <phoneticPr fontId="8" type="noConversion"/>
  </si>
  <si>
    <r>
      <rPr>
        <sz val="9"/>
        <rFont val="돋움"/>
        <family val="3"/>
        <charset val="129"/>
      </rPr>
      <t>퀘스트가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완료됬는지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</si>
  <si>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완료한다</t>
    </r>
    <phoneticPr fontId="8" type="noConversion"/>
  </si>
  <si>
    <t>퀘스트가 정상적으로 완료된다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</si>
  <si>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출력되는지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</si>
  <si>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</si>
  <si>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대화가 더 이상 출력되지 않는다</t>
    <phoneticPr fontId="8" type="noConversion"/>
  </si>
  <si>
    <r>
      <rPr>
        <sz val="9"/>
        <rFont val="돋움"/>
        <family val="3"/>
        <charset val="129"/>
      </rPr>
      <t>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받을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있는지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</si>
  <si>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</si>
  <si>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다른 플레이어는 퀘스트 수락이 불가능하다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</si>
  <si>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보상이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지급되는지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</si>
  <si>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NPC</t>
    </r>
    <r>
      <rPr>
        <sz val="9"/>
        <rFont val="돋움"/>
        <family val="3"/>
        <charset val="129"/>
      </rPr>
      <t>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호감도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혹은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본인에게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귀속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여부를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</si>
  <si>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t>호감도가 증가하고 NPC가 해당 플레이어에게 귀속된다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</si>
  <si>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수락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로그에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진행상황이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표시된다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</si>
  <si>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' J '</t>
    </r>
    <r>
      <rPr>
        <sz val="9"/>
        <rFont val="돋움"/>
        <family val="3"/>
        <charset val="129"/>
      </rPr>
      <t>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</si>
  <si>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퀘스트 진행 상황이 표시된다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</si>
</sst>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9"/>
      <name val="맑은 고딕"/>
      <family val="3"/>
      <charset val="129"/>
    </font>
    <font>
      <sz val="9"/>
      <name val="Arial Unicode MS"/>
      <family val="2"/>
      <charset val="129"/>
    </font>
    <font>
      <sz val="9"/>
      <name val="Verdana"/>
      <family val="3"/>
      <charset val="129"/>
    </font>
    <font>
      <sz val="9"/>
      <name val="Verdana"/>
      <family val="3"/>
    </font>
    <font>
      <sz val="9"/>
      <name val="Arial Unicode MS"/>
      <family val="3"/>
      <charset val="129"/>
    </font>
    <font>
      <b/>
      <sz val="9"/>
      <name val="맑은 고딕"/>
      <family val="3"/>
      <charset val="129"/>
    </font>
    <font>
      <b/>
      <sz val="9"/>
      <name val="Verdana"/>
      <family val="3"/>
      <charset val="129"/>
    </font>
    <font>
      <sz val="10"/>
      <color rgb="FF000000"/>
      <name val="돋움"/>
      <family val="3"/>
      <charset val="129"/>
    </font>
    <font>
      <sz val="9"/>
      <name val="Verdana"/>
      <family val="2"/>
      <charset val="129"/>
    </font>
    <font>
      <sz val="9"/>
      <name val="맑은 고딕"/>
      <family val="2"/>
      <charset val="129"/>
    </font>
    <font>
      <sz val="9"/>
      <name val="Arial"/>
      <family val="2"/>
    </font>
    <font>
      <sz val="9"/>
      <name val="Arial"/>
      <family val="2"/>
      <charset val="129"/>
    </font>
    <font>
      <sz val="9"/>
      <name val="돋움"/>
      <family val="2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9"/>
      <name val="돋움"/>
      <family val="3"/>
      <charset val="129"/>
    </font>
    <font>
      <sz val="9"/>
      <name val="Arial Unicode MS"/>
      <family val="2"/>
    </font>
    <font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</cellStyleXfs>
  <cellXfs count="124"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3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0" borderId="0" xfId="0" applyFont="1" applyAlignment="1">
      <alignment wrapText="1"/>
    </xf>
    <xf numFmtId="9" fontId="7" fillId="0" borderId="0" xfId="0" applyNumberFormat="1" applyFont="1" applyAlignment="1">
      <alignment wrapText="1"/>
    </xf>
    <xf numFmtId="0" fontId="7" fillId="5" borderId="0" xfId="0" applyFont="1" applyFill="1" applyAlignment="1">
      <alignment wrapText="1"/>
    </xf>
    <xf numFmtId="9" fontId="7" fillId="5" borderId="0" xfId="0" applyNumberFormat="1" applyFont="1" applyFill="1" applyAlignment="1">
      <alignment wrapText="1"/>
    </xf>
    <xf numFmtId="0" fontId="7" fillId="6" borderId="0" xfId="0" applyFont="1" applyFill="1" applyAlignment="1">
      <alignment wrapText="1"/>
    </xf>
    <xf numFmtId="10" fontId="7" fillId="6" borderId="0" xfId="0" applyNumberFormat="1" applyFont="1" applyFill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18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9" fillId="0" borderId="1" xfId="2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7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1" fillId="0" borderId="6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25" fillId="9" borderId="8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14" fontId="26" fillId="0" borderId="8" xfId="0" applyNumberFormat="1" applyFont="1" applyBorder="1" applyAlignment="1">
      <alignment horizontal="center" vertical="center"/>
    </xf>
    <xf numFmtId="14" fontId="26" fillId="0" borderId="9" xfId="0" applyNumberFormat="1" applyFont="1" applyBorder="1" applyAlignment="1">
      <alignment horizontal="center" vertical="center"/>
    </xf>
    <xf numFmtId="14" fontId="26" fillId="0" borderId="10" xfId="0" applyNumberFormat="1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0" fontId="28" fillId="0" borderId="14" xfId="0" applyFont="1" applyBorder="1" applyAlignment="1">
      <alignment horizontal="left" vertical="center"/>
    </xf>
    <xf numFmtId="0" fontId="28" fillId="0" borderId="15" xfId="0" applyFont="1" applyBorder="1" applyAlignment="1">
      <alignment horizontal="left" vertical="center"/>
    </xf>
    <xf numFmtId="0" fontId="28" fillId="0" borderId="16" xfId="0" applyFont="1" applyBorder="1" applyAlignment="1">
      <alignment horizontal="left" vertical="center"/>
    </xf>
    <xf numFmtId="0" fontId="28" fillId="0" borderId="11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1" fillId="7" borderId="8" xfId="1" applyBorder="1" applyAlignment="1">
      <alignment horizontal="center" vertical="center"/>
    </xf>
    <xf numFmtId="0" fontId="1" fillId="7" borderId="9" xfId="1" applyBorder="1" applyAlignment="1">
      <alignment horizontal="center" vertical="center"/>
    </xf>
    <xf numFmtId="0" fontId="1" fillId="7" borderId="10" xfId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30" fillId="10" borderId="1" xfId="1" applyFont="1" applyFill="1" applyBorder="1" applyAlignment="1">
      <alignment horizontal="center" vertical="center"/>
    </xf>
    <xf numFmtId="0" fontId="33" fillId="10" borderId="1" xfId="1" applyFont="1" applyFill="1" applyBorder="1" applyAlignment="1">
      <alignment horizontal="center" vertical="center"/>
    </xf>
    <xf numFmtId="0" fontId="30" fillId="10" borderId="8" xfId="1" applyFont="1" applyFill="1" applyBorder="1" applyAlignment="1">
      <alignment horizontal="center" vertical="center"/>
    </xf>
    <xf numFmtId="0" fontId="33" fillId="10" borderId="9" xfId="1" applyFont="1" applyFill="1" applyBorder="1" applyAlignment="1">
      <alignment horizontal="center" vertical="center"/>
    </xf>
    <xf numFmtId="0" fontId="33" fillId="10" borderId="10" xfId="1" applyFont="1" applyFill="1" applyBorder="1" applyAlignment="1">
      <alignment horizontal="center" vertical="center"/>
    </xf>
    <xf numFmtId="0" fontId="33" fillId="10" borderId="8" xfId="1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 wrapText="1"/>
    </xf>
  </cellXfs>
  <cellStyles count="3">
    <cellStyle name="60% - 강조색1" xfId="1" builtinId="32"/>
    <cellStyle name="표준" xfId="0" builtinId="0"/>
    <cellStyle name="하이퍼링크" xfId="2" builtinId="8"/>
  </cellStyles>
  <dxfs count="82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L74"/>
  <sheetViews>
    <sheetView tabSelected="1" zoomScale="85" zoomScaleNormal="85" workbookViewId="0">
      <pane ySplit="1" topLeftCell="A48" activePane="bottomLeft" state="frozen"/>
      <selection pane="bottomLeft" activeCell="E56" sqref="E56"/>
    </sheetView>
  </sheetViews>
  <sheetFormatPr defaultColWidth="12.5546875" defaultRowHeight="12.75" customHeight="1"/>
  <cols>
    <col min="1" max="1" width="4.5546875" bestFit="1" customWidth="1"/>
    <col min="2" max="2" width="10.44140625" bestFit="1" customWidth="1"/>
    <col min="3" max="3" width="11.109375" bestFit="1" customWidth="1"/>
    <col min="4" max="4" width="15.88671875" bestFit="1" customWidth="1"/>
    <col min="5" max="5" width="46.44140625" customWidth="1"/>
    <col min="6" max="6" width="21" bestFit="1" customWidth="1"/>
    <col min="7" max="7" width="59.88671875" bestFit="1" customWidth="1"/>
    <col min="8" max="8" width="57" bestFit="1" customWidth="1"/>
    <col min="9" max="9" width="6.33203125" style="14" bestFit="1" customWidth="1"/>
    <col min="10" max="10" width="9.44140625" bestFit="1" customWidth="1"/>
    <col min="11" max="11" width="5.44140625" bestFit="1" customWidth="1"/>
    <col min="12" max="12" width="10.44140625" bestFit="1" customWidth="1"/>
  </cols>
  <sheetData>
    <row r="1" spans="1:12" ht="13.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33</v>
      </c>
      <c r="G1" s="15" t="s">
        <v>5</v>
      </c>
      <c r="H1" s="15" t="s">
        <v>6</v>
      </c>
      <c r="I1" s="17" t="s">
        <v>7</v>
      </c>
      <c r="J1" s="15" t="s">
        <v>8</v>
      </c>
      <c r="K1" s="15" t="s">
        <v>9</v>
      </c>
      <c r="L1" s="15" t="s">
        <v>10</v>
      </c>
    </row>
    <row r="2" spans="1:12" ht="13.2">
      <c r="A2" s="49">
        <f t="shared" ref="A2:A33" si="0">HYPERLINK("#'" &amp; (ROW()-1) &amp; "'!A1", ROW()-1)</f>
        <v>1</v>
      </c>
      <c r="B2" s="70" t="s">
        <v>37</v>
      </c>
      <c r="C2" s="10" t="s">
        <v>12</v>
      </c>
      <c r="D2" s="10" t="s">
        <v>11</v>
      </c>
      <c r="E2" s="18" t="s">
        <v>38</v>
      </c>
      <c r="F2" s="10"/>
      <c r="G2" s="10" t="s">
        <v>31</v>
      </c>
      <c r="H2" s="18" t="s">
        <v>32</v>
      </c>
      <c r="I2" s="19" t="s">
        <v>99</v>
      </c>
      <c r="J2" s="10"/>
      <c r="K2" s="10"/>
      <c r="L2" s="10" t="str">
        <f t="shared" ref="L2:L4" si="1">IF(B2="",L1,B2)</f>
        <v>게임실행</v>
      </c>
    </row>
    <row r="3" spans="1:12" ht="12.75" customHeight="1">
      <c r="A3" s="40">
        <f t="shared" si="0"/>
        <v>2</v>
      </c>
      <c r="B3" s="67"/>
      <c r="C3" s="69" t="s">
        <v>14</v>
      </c>
      <c r="D3" s="46" t="s">
        <v>15</v>
      </c>
      <c r="E3" s="47" t="s">
        <v>36</v>
      </c>
      <c r="F3" s="46"/>
      <c r="G3" s="46" t="s">
        <v>70</v>
      </c>
      <c r="H3" s="46" t="s">
        <v>124</v>
      </c>
      <c r="I3" s="41" t="s">
        <v>99</v>
      </c>
      <c r="J3" s="46"/>
      <c r="K3" s="46"/>
      <c r="L3" s="10" t="str">
        <f t="shared" si="1"/>
        <v>게임실행</v>
      </c>
    </row>
    <row r="4" spans="1:12" ht="26.4">
      <c r="A4" s="40">
        <f t="shared" si="0"/>
        <v>3</v>
      </c>
      <c r="B4" s="67"/>
      <c r="C4" s="67"/>
      <c r="D4" s="48" t="s">
        <v>206</v>
      </c>
      <c r="E4" s="46" t="s">
        <v>19</v>
      </c>
      <c r="F4" s="46"/>
      <c r="G4" s="46" t="s">
        <v>35</v>
      </c>
      <c r="H4" s="47" t="s">
        <v>42</v>
      </c>
      <c r="I4" s="41" t="s">
        <v>99</v>
      </c>
      <c r="J4" s="46"/>
      <c r="K4" s="46"/>
      <c r="L4" s="40" t="str">
        <f t="shared" si="1"/>
        <v>게임실행</v>
      </c>
    </row>
    <row r="5" spans="1:12" ht="12.75" customHeight="1" thickBot="1">
      <c r="A5" s="40">
        <f t="shared" si="0"/>
        <v>4</v>
      </c>
      <c r="B5" s="68"/>
      <c r="C5" s="68"/>
      <c r="D5" s="12" t="s">
        <v>21</v>
      </c>
      <c r="E5" s="12" t="s">
        <v>22</v>
      </c>
      <c r="F5" s="12"/>
      <c r="G5" s="12" t="s">
        <v>43</v>
      </c>
      <c r="H5" s="26" t="s">
        <v>34</v>
      </c>
      <c r="I5" s="27" t="s">
        <v>99</v>
      </c>
      <c r="J5" s="12"/>
      <c r="K5" s="12"/>
      <c r="L5" s="40" t="e">
        <f>IF(B5="",#REF!,B5)</f>
        <v>#REF!</v>
      </c>
    </row>
    <row r="6" spans="1:12" ht="13.2">
      <c r="A6" s="40">
        <f t="shared" si="0"/>
        <v>5</v>
      </c>
      <c r="B6" s="66" t="s">
        <v>23</v>
      </c>
      <c r="C6" s="71" t="s">
        <v>137</v>
      </c>
      <c r="D6" s="74" t="s">
        <v>171</v>
      </c>
      <c r="E6" s="28" t="s">
        <v>86</v>
      </c>
      <c r="F6" s="13" t="s">
        <v>114</v>
      </c>
      <c r="G6" s="13" t="s">
        <v>89</v>
      </c>
      <c r="H6" s="29" t="s">
        <v>92</v>
      </c>
      <c r="I6" s="19" t="s">
        <v>125</v>
      </c>
      <c r="J6" s="13"/>
      <c r="K6" s="13"/>
      <c r="L6" s="13" t="str">
        <f t="shared" ref="L6:L10" si="2">IF(B6="",L5,B6)</f>
        <v>메뉴기능</v>
      </c>
    </row>
    <row r="7" spans="1:12" ht="13.2">
      <c r="A7" s="40">
        <f t="shared" si="0"/>
        <v>6</v>
      </c>
      <c r="B7" s="67"/>
      <c r="C7" s="67"/>
      <c r="D7" s="75"/>
      <c r="E7" s="20" t="s">
        <v>87</v>
      </c>
      <c r="F7" s="10" t="s">
        <v>114</v>
      </c>
      <c r="G7" s="10" t="s">
        <v>90</v>
      </c>
      <c r="H7" s="21" t="s">
        <v>93</v>
      </c>
      <c r="I7" s="19" t="s">
        <v>125</v>
      </c>
      <c r="J7" s="10"/>
      <c r="K7" s="10"/>
      <c r="L7" s="10" t="str">
        <f t="shared" si="2"/>
        <v>메뉴기능</v>
      </c>
    </row>
    <row r="8" spans="1:12" ht="13.2">
      <c r="A8" s="40">
        <f t="shared" si="0"/>
        <v>7</v>
      </c>
      <c r="B8" s="67"/>
      <c r="C8" s="67"/>
      <c r="D8" s="75"/>
      <c r="E8" s="20" t="s">
        <v>88</v>
      </c>
      <c r="F8" s="10" t="s">
        <v>114</v>
      </c>
      <c r="G8" s="20" t="s">
        <v>91</v>
      </c>
      <c r="H8" s="20" t="s">
        <v>94</v>
      </c>
      <c r="I8" s="19" t="s">
        <v>125</v>
      </c>
      <c r="J8" s="10"/>
      <c r="K8" s="10"/>
      <c r="L8" s="10" t="str">
        <f t="shared" si="2"/>
        <v>메뉴기능</v>
      </c>
    </row>
    <row r="9" spans="1:12" ht="12.75" customHeight="1">
      <c r="A9" s="40">
        <f t="shared" si="0"/>
        <v>8</v>
      </c>
      <c r="B9" s="67"/>
      <c r="C9" s="67"/>
      <c r="D9" s="57" t="s">
        <v>172</v>
      </c>
      <c r="E9" s="20" t="s">
        <v>97</v>
      </c>
      <c r="F9" s="10" t="s">
        <v>114</v>
      </c>
      <c r="G9" s="10" t="s">
        <v>161</v>
      </c>
      <c r="H9" s="20" t="s">
        <v>98</v>
      </c>
      <c r="I9" s="19" t="s">
        <v>125</v>
      </c>
      <c r="J9" s="10"/>
      <c r="K9" s="10"/>
      <c r="L9" s="10" t="str">
        <f t="shared" si="2"/>
        <v>메뉴기능</v>
      </c>
    </row>
    <row r="10" spans="1:12" ht="13.2">
      <c r="A10" s="40">
        <f t="shared" si="0"/>
        <v>9</v>
      </c>
      <c r="B10" s="67"/>
      <c r="C10" s="67"/>
      <c r="D10" s="67"/>
      <c r="E10" s="10" t="s">
        <v>96</v>
      </c>
      <c r="F10" s="10" t="s">
        <v>114</v>
      </c>
      <c r="G10" s="10" t="s">
        <v>100</v>
      </c>
      <c r="H10" s="20" t="s">
        <v>101</v>
      </c>
      <c r="I10" s="19" t="s">
        <v>125</v>
      </c>
      <c r="J10" s="10"/>
      <c r="K10" s="10"/>
      <c r="L10" s="10" t="str">
        <f t="shared" si="2"/>
        <v>메뉴기능</v>
      </c>
    </row>
    <row r="11" spans="1:12" ht="34.200000000000003">
      <c r="A11" s="40">
        <f t="shared" si="0"/>
        <v>10</v>
      </c>
      <c r="B11" s="67"/>
      <c r="C11" s="67"/>
      <c r="D11" s="59" t="s">
        <v>95</v>
      </c>
      <c r="E11" s="36" t="s">
        <v>127</v>
      </c>
      <c r="F11" s="38" t="s">
        <v>128</v>
      </c>
      <c r="G11" s="35" t="s">
        <v>162</v>
      </c>
      <c r="H11" s="38" t="s">
        <v>142</v>
      </c>
      <c r="I11" s="37" t="s">
        <v>126</v>
      </c>
      <c r="J11" s="35" t="s">
        <v>129</v>
      </c>
      <c r="K11" s="35"/>
      <c r="L11" s="35" t="str">
        <f>IF(B11="",L10,B11)</f>
        <v>메뉴기능</v>
      </c>
    </row>
    <row r="12" spans="1:12" ht="22.2">
      <c r="A12" s="40">
        <f t="shared" si="0"/>
        <v>11</v>
      </c>
      <c r="B12" s="67"/>
      <c r="C12" s="67"/>
      <c r="D12" s="59"/>
      <c r="E12" s="38" t="s">
        <v>102</v>
      </c>
      <c r="F12" s="35" t="s">
        <v>115</v>
      </c>
      <c r="G12" s="35" t="s">
        <v>163</v>
      </c>
      <c r="H12" s="38" t="s">
        <v>105</v>
      </c>
      <c r="I12" s="37" t="s">
        <v>125</v>
      </c>
      <c r="J12" s="35"/>
      <c r="K12" s="35"/>
      <c r="L12" s="35" t="str">
        <f>IF(B12="",L10,B12)</f>
        <v>메뉴기능</v>
      </c>
    </row>
    <row r="13" spans="1:12" ht="22.8" thickBot="1">
      <c r="A13" s="40">
        <f t="shared" si="0"/>
        <v>12</v>
      </c>
      <c r="B13" s="68"/>
      <c r="C13" s="72"/>
      <c r="D13" s="60"/>
      <c r="E13" s="30" t="s">
        <v>103</v>
      </c>
      <c r="F13" s="12" t="s">
        <v>115</v>
      </c>
      <c r="G13" s="12" t="s">
        <v>164</v>
      </c>
      <c r="H13" s="31" t="s">
        <v>104</v>
      </c>
      <c r="I13" s="27" t="s">
        <v>125</v>
      </c>
      <c r="J13" s="12"/>
      <c r="K13" s="12"/>
      <c r="L13" s="12" t="str">
        <f>IF(B13="",L11,B13)</f>
        <v>메뉴기능</v>
      </c>
    </row>
    <row r="14" spans="1:12" ht="13.2">
      <c r="A14" s="40">
        <f t="shared" si="0"/>
        <v>13</v>
      </c>
      <c r="B14" s="73" t="s">
        <v>24</v>
      </c>
      <c r="C14" s="61" t="s">
        <v>40</v>
      </c>
      <c r="D14" s="56" t="s">
        <v>39</v>
      </c>
      <c r="E14" s="24" t="s">
        <v>41</v>
      </c>
      <c r="F14" s="11" t="s">
        <v>113</v>
      </c>
      <c r="G14" s="11" t="s">
        <v>71</v>
      </c>
      <c r="H14" s="24" t="s">
        <v>45</v>
      </c>
      <c r="I14" s="25" t="s">
        <v>125</v>
      </c>
      <c r="J14" s="11"/>
      <c r="K14" s="11"/>
      <c r="L14" s="39" t="str">
        <f>IF(B14="",#REF!,B14)</f>
        <v>인게임기능</v>
      </c>
    </row>
    <row r="15" spans="1:12" ht="13.2">
      <c r="A15" s="40">
        <f t="shared" si="0"/>
        <v>14</v>
      </c>
      <c r="B15" s="69"/>
      <c r="C15" s="55"/>
      <c r="D15" s="57"/>
      <c r="E15" s="21" t="s">
        <v>49</v>
      </c>
      <c r="F15" s="10" t="s">
        <v>113</v>
      </c>
      <c r="G15" s="10" t="s">
        <v>72</v>
      </c>
      <c r="H15" s="21" t="s">
        <v>50</v>
      </c>
      <c r="I15" s="19" t="s">
        <v>125</v>
      </c>
      <c r="J15" s="10"/>
      <c r="K15" s="10"/>
      <c r="L15" s="10" t="str">
        <f t="shared" ref="L15:L60" si="3">IF(B15="",L14,B15)</f>
        <v>인게임기능</v>
      </c>
    </row>
    <row r="16" spans="1:12" ht="13.2">
      <c r="A16" s="40">
        <f t="shared" si="0"/>
        <v>15</v>
      </c>
      <c r="B16" s="69"/>
      <c r="C16" s="55"/>
      <c r="D16" s="57"/>
      <c r="E16" s="21" t="s">
        <v>53</v>
      </c>
      <c r="F16" s="10" t="s">
        <v>113</v>
      </c>
      <c r="G16" s="10" t="s">
        <v>73</v>
      </c>
      <c r="H16" s="20" t="s">
        <v>51</v>
      </c>
      <c r="I16" s="19" t="s">
        <v>125</v>
      </c>
      <c r="J16" s="10"/>
      <c r="K16" s="10"/>
      <c r="L16" s="10" t="str">
        <f t="shared" si="3"/>
        <v>인게임기능</v>
      </c>
    </row>
    <row r="17" spans="1:12" ht="22.2">
      <c r="A17" s="40">
        <f t="shared" si="0"/>
        <v>16</v>
      </c>
      <c r="B17" s="69"/>
      <c r="C17" s="55"/>
      <c r="D17" s="57"/>
      <c r="E17" s="21" t="s">
        <v>52</v>
      </c>
      <c r="F17" s="10" t="s">
        <v>113</v>
      </c>
      <c r="G17" s="10" t="s">
        <v>74</v>
      </c>
      <c r="H17" s="20" t="s">
        <v>54</v>
      </c>
      <c r="I17" s="19" t="s">
        <v>125</v>
      </c>
      <c r="J17" s="10"/>
      <c r="K17" s="10"/>
      <c r="L17" s="10" t="str">
        <f t="shared" si="3"/>
        <v>인게임기능</v>
      </c>
    </row>
    <row r="18" spans="1:12" ht="22.2">
      <c r="A18" s="40">
        <f t="shared" si="0"/>
        <v>17</v>
      </c>
      <c r="B18" s="69"/>
      <c r="C18" s="55"/>
      <c r="D18" s="57"/>
      <c r="E18" s="20" t="s">
        <v>44</v>
      </c>
      <c r="F18" s="10" t="s">
        <v>113</v>
      </c>
      <c r="G18" s="10" t="s">
        <v>75</v>
      </c>
      <c r="H18" s="10" t="s">
        <v>67</v>
      </c>
      <c r="I18" s="19" t="s">
        <v>125</v>
      </c>
      <c r="J18" s="10"/>
      <c r="K18" s="10"/>
      <c r="L18" s="10" t="str">
        <f t="shared" si="3"/>
        <v>인게임기능</v>
      </c>
    </row>
    <row r="19" spans="1:12" ht="21.6">
      <c r="A19" s="40">
        <f t="shared" si="0"/>
        <v>18</v>
      </c>
      <c r="B19" s="69"/>
      <c r="C19" s="55"/>
      <c r="D19" s="57"/>
      <c r="E19" s="20" t="s">
        <v>46</v>
      </c>
      <c r="F19" s="10" t="s">
        <v>113</v>
      </c>
      <c r="G19" s="10" t="s">
        <v>76</v>
      </c>
      <c r="H19" s="20" t="s">
        <v>57</v>
      </c>
      <c r="I19" s="19" t="s">
        <v>125</v>
      </c>
      <c r="J19" s="10"/>
      <c r="K19" s="10"/>
      <c r="L19" s="10" t="str">
        <f t="shared" si="3"/>
        <v>인게임기능</v>
      </c>
    </row>
    <row r="20" spans="1:12" ht="21.6">
      <c r="A20" s="40">
        <f t="shared" si="0"/>
        <v>19</v>
      </c>
      <c r="B20" s="67"/>
      <c r="C20" s="55"/>
      <c r="D20" s="57"/>
      <c r="E20" s="20" t="s">
        <v>47</v>
      </c>
      <c r="F20" s="10" t="s">
        <v>113</v>
      </c>
      <c r="G20" s="10" t="s">
        <v>77</v>
      </c>
      <c r="H20" s="20" t="s">
        <v>48</v>
      </c>
      <c r="I20" s="19" t="s">
        <v>125</v>
      </c>
      <c r="J20" s="10"/>
      <c r="K20" s="10"/>
      <c r="L20" s="10" t="str">
        <f t="shared" si="3"/>
        <v>인게임기능</v>
      </c>
    </row>
    <row r="21" spans="1:12" ht="22.2">
      <c r="A21" s="40">
        <f t="shared" si="0"/>
        <v>20</v>
      </c>
      <c r="B21" s="67"/>
      <c r="C21" s="55"/>
      <c r="D21" s="57"/>
      <c r="E21" s="20" t="s">
        <v>55</v>
      </c>
      <c r="F21" s="10" t="s">
        <v>113</v>
      </c>
      <c r="G21" s="10" t="s">
        <v>78</v>
      </c>
      <c r="H21" s="20" t="s">
        <v>56</v>
      </c>
      <c r="I21" s="19" t="s">
        <v>126</v>
      </c>
      <c r="J21" s="10" t="s">
        <v>129</v>
      </c>
      <c r="K21" s="10"/>
      <c r="L21" s="10" t="str">
        <f t="shared" si="3"/>
        <v>인게임기능</v>
      </c>
    </row>
    <row r="22" spans="1:12" ht="13.2">
      <c r="A22" s="40">
        <f t="shared" si="0"/>
        <v>21</v>
      </c>
      <c r="B22" s="67"/>
      <c r="C22" s="55"/>
      <c r="D22" s="54" t="s">
        <v>59</v>
      </c>
      <c r="E22" s="20" t="s">
        <v>60</v>
      </c>
      <c r="F22" s="10" t="s">
        <v>113</v>
      </c>
      <c r="G22" s="10" t="s">
        <v>79</v>
      </c>
      <c r="H22" s="21" t="s">
        <v>61</v>
      </c>
      <c r="I22" s="19" t="s">
        <v>125</v>
      </c>
      <c r="J22" s="10"/>
      <c r="K22" s="10"/>
      <c r="L22" s="10" t="str">
        <f t="shared" si="3"/>
        <v>인게임기능</v>
      </c>
    </row>
    <row r="23" spans="1:12" ht="13.2">
      <c r="A23" s="40">
        <f t="shared" si="0"/>
        <v>22</v>
      </c>
      <c r="B23" s="67"/>
      <c r="C23" s="55"/>
      <c r="D23" s="55"/>
      <c r="E23" s="21" t="s">
        <v>62</v>
      </c>
      <c r="F23" s="10" t="s">
        <v>113</v>
      </c>
      <c r="G23" s="10" t="s">
        <v>80</v>
      </c>
      <c r="H23" s="21" t="s">
        <v>63</v>
      </c>
      <c r="I23" s="19" t="s">
        <v>125</v>
      </c>
      <c r="J23" s="10"/>
      <c r="K23" s="10"/>
      <c r="L23" s="10" t="str">
        <f t="shared" si="3"/>
        <v>인게임기능</v>
      </c>
    </row>
    <row r="24" spans="1:12" ht="22.2">
      <c r="A24" s="40">
        <f t="shared" si="0"/>
        <v>23</v>
      </c>
      <c r="B24" s="67"/>
      <c r="C24" s="55"/>
      <c r="D24" s="55"/>
      <c r="E24" s="21" t="s">
        <v>64</v>
      </c>
      <c r="F24" s="10" t="s">
        <v>113</v>
      </c>
      <c r="G24" s="10" t="s">
        <v>81</v>
      </c>
      <c r="H24" s="20" t="s">
        <v>68</v>
      </c>
      <c r="I24" s="19" t="s">
        <v>125</v>
      </c>
      <c r="J24" s="10"/>
      <c r="K24" s="10"/>
      <c r="L24" s="10" t="str">
        <f t="shared" si="3"/>
        <v>인게임기능</v>
      </c>
    </row>
    <row r="25" spans="1:12" ht="22.8">
      <c r="A25" s="40">
        <f t="shared" si="0"/>
        <v>24</v>
      </c>
      <c r="B25" s="67"/>
      <c r="C25" s="55"/>
      <c r="D25" s="55"/>
      <c r="E25" s="20" t="s">
        <v>58</v>
      </c>
      <c r="F25" s="10" t="s">
        <v>113</v>
      </c>
      <c r="G25" s="10" t="s">
        <v>82</v>
      </c>
      <c r="H25" s="20" t="s">
        <v>65</v>
      </c>
      <c r="I25" s="19" t="s">
        <v>126</v>
      </c>
      <c r="J25" s="10" t="s">
        <v>129</v>
      </c>
      <c r="K25" s="10"/>
      <c r="L25" s="10" t="str">
        <f t="shared" si="3"/>
        <v>인게임기능</v>
      </c>
    </row>
    <row r="26" spans="1:12" ht="22.2">
      <c r="A26" s="40">
        <f t="shared" si="0"/>
        <v>25</v>
      </c>
      <c r="B26" s="67"/>
      <c r="C26" s="55"/>
      <c r="D26" s="56"/>
      <c r="E26" s="20" t="s">
        <v>66</v>
      </c>
      <c r="F26" s="10" t="s">
        <v>113</v>
      </c>
      <c r="G26" s="10" t="s">
        <v>83</v>
      </c>
      <c r="H26" s="20" t="s">
        <v>69</v>
      </c>
      <c r="I26" s="19" t="s">
        <v>125</v>
      </c>
      <c r="J26" s="10"/>
      <c r="K26" s="10"/>
      <c r="L26" s="10" t="str">
        <f t="shared" si="3"/>
        <v>인게임기능</v>
      </c>
    </row>
    <row r="27" spans="1:12" ht="22.2">
      <c r="A27" s="40">
        <f t="shared" si="0"/>
        <v>26</v>
      </c>
      <c r="B27" s="67"/>
      <c r="C27" s="55"/>
      <c r="D27" s="54" t="s">
        <v>84</v>
      </c>
      <c r="E27" s="36" t="s">
        <v>140</v>
      </c>
      <c r="F27" s="35" t="s">
        <v>113</v>
      </c>
      <c r="G27" s="35" t="s">
        <v>141</v>
      </c>
      <c r="H27" s="38" t="s">
        <v>139</v>
      </c>
      <c r="I27" s="37" t="s">
        <v>125</v>
      </c>
      <c r="J27" s="10"/>
      <c r="K27" s="10"/>
      <c r="L27" s="10" t="str">
        <f>IF(B27="",L26,B27)</f>
        <v>인게임기능</v>
      </c>
    </row>
    <row r="28" spans="1:12" ht="33">
      <c r="A28" s="40">
        <f t="shared" si="0"/>
        <v>27</v>
      </c>
      <c r="B28" s="67"/>
      <c r="C28" s="55"/>
      <c r="D28" s="55"/>
      <c r="E28" s="36" t="s">
        <v>145</v>
      </c>
      <c r="F28" s="35" t="s">
        <v>113</v>
      </c>
      <c r="G28" s="35" t="s">
        <v>146</v>
      </c>
      <c r="H28" s="38" t="s">
        <v>237</v>
      </c>
      <c r="I28" s="37" t="s">
        <v>125</v>
      </c>
      <c r="J28" s="35"/>
      <c r="K28" s="35"/>
      <c r="L28" s="35" t="str">
        <f t="shared" si="3"/>
        <v>인게임기능</v>
      </c>
    </row>
    <row r="29" spans="1:12" ht="33">
      <c r="A29" s="40">
        <f t="shared" si="0"/>
        <v>28</v>
      </c>
      <c r="B29" s="67"/>
      <c r="C29" s="55"/>
      <c r="D29" s="55"/>
      <c r="E29" s="36" t="s">
        <v>147</v>
      </c>
      <c r="F29" s="35" t="s">
        <v>113</v>
      </c>
      <c r="G29" s="35" t="s">
        <v>149</v>
      </c>
      <c r="H29" s="38" t="s">
        <v>238</v>
      </c>
      <c r="I29" s="37" t="s">
        <v>125</v>
      </c>
      <c r="J29" s="35"/>
      <c r="K29" s="35"/>
      <c r="L29" s="35" t="str">
        <f t="shared" si="3"/>
        <v>인게임기능</v>
      </c>
    </row>
    <row r="30" spans="1:12" ht="33">
      <c r="A30" s="40">
        <f t="shared" si="0"/>
        <v>29</v>
      </c>
      <c r="B30" s="67"/>
      <c r="C30" s="55"/>
      <c r="D30" s="55"/>
      <c r="E30" s="36" t="s">
        <v>148</v>
      </c>
      <c r="F30" s="35" t="s">
        <v>113</v>
      </c>
      <c r="G30" s="35" t="s">
        <v>150</v>
      </c>
      <c r="H30" s="38" t="s">
        <v>151</v>
      </c>
      <c r="I30" s="37" t="s">
        <v>125</v>
      </c>
      <c r="J30" s="35"/>
      <c r="K30" s="35"/>
      <c r="L30" s="35" t="str">
        <f>IF(B30="",L28,B30)</f>
        <v>인게임기능</v>
      </c>
    </row>
    <row r="31" spans="1:12" ht="22.8">
      <c r="A31" s="40">
        <f t="shared" si="0"/>
        <v>30</v>
      </c>
      <c r="B31" s="67"/>
      <c r="C31" s="55"/>
      <c r="D31" s="55"/>
      <c r="E31" s="36" t="s">
        <v>167</v>
      </c>
      <c r="F31" s="35" t="s">
        <v>143</v>
      </c>
      <c r="G31" s="35" t="s">
        <v>168</v>
      </c>
      <c r="H31" s="38" t="s">
        <v>170</v>
      </c>
      <c r="I31" s="37" t="s">
        <v>125</v>
      </c>
      <c r="J31" s="35"/>
      <c r="K31" s="35"/>
      <c r="L31" s="35" t="str">
        <f>IF(B31="",L28,B31)</f>
        <v>인게임기능</v>
      </c>
    </row>
    <row r="32" spans="1:12" ht="22.8">
      <c r="A32" s="40">
        <f t="shared" si="0"/>
        <v>31</v>
      </c>
      <c r="B32" s="67"/>
      <c r="C32" s="55"/>
      <c r="D32" s="55"/>
      <c r="E32" s="36" t="s">
        <v>166</v>
      </c>
      <c r="F32" s="35" t="s">
        <v>113</v>
      </c>
      <c r="G32" s="35" t="s">
        <v>152</v>
      </c>
      <c r="H32" s="38" t="s">
        <v>169</v>
      </c>
      <c r="I32" s="37" t="s">
        <v>125</v>
      </c>
      <c r="J32" s="10"/>
      <c r="K32" s="10"/>
      <c r="L32" s="35" t="str">
        <f>IF(B32="",L29,B32)</f>
        <v>인게임기능</v>
      </c>
    </row>
    <row r="33" spans="1:12" ht="13.2">
      <c r="A33" s="40">
        <f t="shared" si="0"/>
        <v>32</v>
      </c>
      <c r="B33" s="67"/>
      <c r="C33" s="55"/>
      <c r="D33" s="56"/>
      <c r="E33" s="38" t="s">
        <v>192</v>
      </c>
      <c r="F33" s="35" t="s">
        <v>143</v>
      </c>
      <c r="G33" s="35" t="s">
        <v>190</v>
      </c>
      <c r="H33" s="38" t="s">
        <v>191</v>
      </c>
      <c r="I33" s="37" t="s">
        <v>125</v>
      </c>
      <c r="J33" s="35"/>
      <c r="K33" s="35"/>
      <c r="L33" s="35" t="str">
        <f>IF(B33="",L30,B33)</f>
        <v>인게임기능</v>
      </c>
    </row>
    <row r="34" spans="1:12" ht="13.2">
      <c r="A34" s="40">
        <f t="shared" ref="A34:A68" si="4">HYPERLINK("#'" &amp; (ROW()-1) &amp; "'!A1", ROW()-1)</f>
        <v>33</v>
      </c>
      <c r="B34" s="67"/>
      <c r="C34" s="55"/>
      <c r="D34" s="57" t="s">
        <v>85</v>
      </c>
      <c r="E34" s="20" t="s">
        <v>106</v>
      </c>
      <c r="F34" s="21" t="s">
        <v>112</v>
      </c>
      <c r="G34" s="10" t="s">
        <v>159</v>
      </c>
      <c r="H34" s="20" t="s">
        <v>108</v>
      </c>
      <c r="I34" s="19" t="s">
        <v>125</v>
      </c>
      <c r="J34" s="10"/>
      <c r="K34" s="10"/>
      <c r="L34" s="10" t="str">
        <f>IF(B34="",L32,B34)</f>
        <v>인게임기능</v>
      </c>
    </row>
    <row r="35" spans="1:12" ht="13.2">
      <c r="A35" s="40">
        <f t="shared" si="4"/>
        <v>34</v>
      </c>
      <c r="B35" s="67"/>
      <c r="C35" s="55"/>
      <c r="D35" s="58"/>
      <c r="E35" s="20" t="s">
        <v>107</v>
      </c>
      <c r="F35" s="21" t="s">
        <v>112</v>
      </c>
      <c r="G35" s="10" t="s">
        <v>158</v>
      </c>
      <c r="H35" s="20" t="s">
        <v>109</v>
      </c>
      <c r="I35" s="19" t="s">
        <v>125</v>
      </c>
      <c r="J35" s="10"/>
      <c r="K35" s="10"/>
      <c r="L35" s="10" t="str">
        <f t="shared" si="3"/>
        <v>인게임기능</v>
      </c>
    </row>
    <row r="36" spans="1:12" ht="22.8">
      <c r="A36" s="40">
        <f t="shared" si="4"/>
        <v>35</v>
      </c>
      <c r="B36" s="67"/>
      <c r="C36" s="55"/>
      <c r="D36" s="58"/>
      <c r="E36" s="20" t="s">
        <v>110</v>
      </c>
      <c r="F36" s="21" t="s">
        <v>112</v>
      </c>
      <c r="G36" s="10" t="s">
        <v>157</v>
      </c>
      <c r="H36" s="20" t="s">
        <v>120</v>
      </c>
      <c r="I36" s="19" t="s">
        <v>125</v>
      </c>
      <c r="J36" s="10"/>
      <c r="K36" s="10"/>
      <c r="L36" s="10" t="str">
        <f t="shared" si="3"/>
        <v>인게임기능</v>
      </c>
    </row>
    <row r="37" spans="1:12" ht="22.8">
      <c r="A37" s="40">
        <f t="shared" si="4"/>
        <v>36</v>
      </c>
      <c r="B37" s="67"/>
      <c r="C37" s="55"/>
      <c r="D37" s="58"/>
      <c r="E37" s="20" t="s">
        <v>111</v>
      </c>
      <c r="F37" s="21" t="s">
        <v>112</v>
      </c>
      <c r="G37" s="10" t="s">
        <v>156</v>
      </c>
      <c r="H37" s="20" t="s">
        <v>119</v>
      </c>
      <c r="I37" s="19" t="s">
        <v>125</v>
      </c>
      <c r="J37" s="10"/>
      <c r="K37" s="10"/>
      <c r="L37" s="10" t="str">
        <f t="shared" si="3"/>
        <v>인게임기능</v>
      </c>
    </row>
    <row r="38" spans="1:12" ht="57">
      <c r="A38" s="40">
        <f t="shared" si="4"/>
        <v>37</v>
      </c>
      <c r="B38" s="67"/>
      <c r="C38" s="55"/>
      <c r="D38" s="58"/>
      <c r="E38" s="20" t="s">
        <v>116</v>
      </c>
      <c r="F38" s="21" t="s">
        <v>112</v>
      </c>
      <c r="G38" s="10" t="s">
        <v>155</v>
      </c>
      <c r="H38" s="20" t="s">
        <v>121</v>
      </c>
      <c r="I38" s="19" t="s">
        <v>125</v>
      </c>
      <c r="J38" s="10"/>
      <c r="K38" s="10"/>
      <c r="L38" s="10" t="str">
        <f t="shared" si="3"/>
        <v>인게임기능</v>
      </c>
    </row>
    <row r="39" spans="1:12" ht="22.2">
      <c r="A39" s="40">
        <f t="shared" si="4"/>
        <v>38</v>
      </c>
      <c r="B39" s="67"/>
      <c r="C39" s="55"/>
      <c r="D39" s="58"/>
      <c r="E39" s="20" t="s">
        <v>117</v>
      </c>
      <c r="F39" s="21" t="s">
        <v>112</v>
      </c>
      <c r="G39" s="10" t="s">
        <v>154</v>
      </c>
      <c r="H39" s="20" t="s">
        <v>122</v>
      </c>
      <c r="I39" s="19" t="s">
        <v>125</v>
      </c>
      <c r="J39" s="10"/>
      <c r="K39" s="10"/>
      <c r="L39" s="10" t="str">
        <f t="shared" si="3"/>
        <v>인게임기능</v>
      </c>
    </row>
    <row r="40" spans="1:12" ht="22.2">
      <c r="A40" s="40">
        <f t="shared" si="4"/>
        <v>39</v>
      </c>
      <c r="B40" s="67"/>
      <c r="C40" s="55"/>
      <c r="D40" s="58"/>
      <c r="E40" s="20" t="s">
        <v>118</v>
      </c>
      <c r="F40" s="21" t="s">
        <v>112</v>
      </c>
      <c r="G40" s="10" t="s">
        <v>153</v>
      </c>
      <c r="H40" s="20" t="s">
        <v>123</v>
      </c>
      <c r="I40" s="19" t="s">
        <v>125</v>
      </c>
      <c r="J40" s="10"/>
      <c r="K40" s="10"/>
      <c r="L40" s="10" t="str">
        <f t="shared" si="3"/>
        <v>인게임기능</v>
      </c>
    </row>
    <row r="41" spans="1:12" ht="22.8">
      <c r="A41" s="51">
        <f t="shared" si="4"/>
        <v>40</v>
      </c>
      <c r="B41" s="67"/>
      <c r="C41" s="55"/>
      <c r="D41" s="62" t="s">
        <v>236</v>
      </c>
      <c r="E41" s="50" t="s">
        <v>239</v>
      </c>
      <c r="F41" s="51" t="s">
        <v>143</v>
      </c>
      <c r="G41" s="51" t="s">
        <v>243</v>
      </c>
      <c r="H41" s="50" t="s">
        <v>248</v>
      </c>
      <c r="I41" s="41" t="s">
        <v>125</v>
      </c>
      <c r="J41" s="51"/>
      <c r="K41" s="51"/>
      <c r="L41" s="51" t="str">
        <f t="shared" si="3"/>
        <v>인게임기능</v>
      </c>
    </row>
    <row r="42" spans="1:12" ht="22.8">
      <c r="A42" s="51">
        <f t="shared" si="4"/>
        <v>41</v>
      </c>
      <c r="B42" s="67"/>
      <c r="C42" s="55"/>
      <c r="D42" s="63"/>
      <c r="E42" s="50" t="s">
        <v>240</v>
      </c>
      <c r="F42" s="51" t="s">
        <v>143</v>
      </c>
      <c r="G42" s="51" t="s">
        <v>244</v>
      </c>
      <c r="H42" s="50" t="s">
        <v>249</v>
      </c>
      <c r="I42" s="41" t="s">
        <v>125</v>
      </c>
      <c r="J42" s="51"/>
      <c r="K42" s="51"/>
      <c r="L42" s="51" t="str">
        <f t="shared" si="3"/>
        <v>인게임기능</v>
      </c>
    </row>
    <row r="43" spans="1:12" ht="22.8">
      <c r="A43" s="51">
        <f t="shared" si="4"/>
        <v>42</v>
      </c>
      <c r="B43" s="67"/>
      <c r="C43" s="55"/>
      <c r="D43" s="63"/>
      <c r="E43" s="50" t="s">
        <v>241</v>
      </c>
      <c r="F43" s="51" t="s">
        <v>143</v>
      </c>
      <c r="G43" s="51" t="s">
        <v>246</v>
      </c>
      <c r="H43" s="50" t="s">
        <v>250</v>
      </c>
      <c r="I43" s="41" t="s">
        <v>125</v>
      </c>
      <c r="J43" s="51"/>
      <c r="K43" s="51"/>
      <c r="L43" s="51" t="str">
        <f t="shared" si="3"/>
        <v>인게임기능</v>
      </c>
    </row>
    <row r="44" spans="1:12" ht="22.8">
      <c r="A44" s="51">
        <f t="shared" si="4"/>
        <v>43</v>
      </c>
      <c r="B44" s="67"/>
      <c r="C44" s="55"/>
      <c r="D44" s="63"/>
      <c r="E44" s="50" t="s">
        <v>242</v>
      </c>
      <c r="F44" s="51" t="s">
        <v>143</v>
      </c>
      <c r="G44" s="51" t="s">
        <v>247</v>
      </c>
      <c r="H44" s="50" t="s">
        <v>251</v>
      </c>
      <c r="I44" s="41" t="s">
        <v>125</v>
      </c>
      <c r="J44" s="51"/>
      <c r="K44" s="51"/>
      <c r="L44" s="51" t="str">
        <f t="shared" si="3"/>
        <v>인게임기능</v>
      </c>
    </row>
    <row r="45" spans="1:12" ht="24">
      <c r="A45" s="43">
        <f t="shared" si="4"/>
        <v>44</v>
      </c>
      <c r="B45" s="67"/>
      <c r="C45" s="55"/>
      <c r="D45" s="54" t="s">
        <v>135</v>
      </c>
      <c r="E45" s="43" t="s">
        <v>207</v>
      </c>
      <c r="F45" s="36" t="s">
        <v>132</v>
      </c>
      <c r="G45" s="51" t="s">
        <v>245</v>
      </c>
      <c r="H45" s="52" t="s">
        <v>208</v>
      </c>
      <c r="I45" s="41" t="s">
        <v>209</v>
      </c>
      <c r="J45" s="43"/>
      <c r="K45" s="43"/>
      <c r="L45" s="51" t="str">
        <f t="shared" si="3"/>
        <v>인게임기능</v>
      </c>
    </row>
    <row r="46" spans="1:12" ht="24">
      <c r="A46" s="43">
        <f t="shared" si="4"/>
        <v>45</v>
      </c>
      <c r="B46" s="67"/>
      <c r="C46" s="55"/>
      <c r="D46" s="55"/>
      <c r="E46" s="43" t="s">
        <v>210</v>
      </c>
      <c r="F46" s="36" t="s">
        <v>132</v>
      </c>
      <c r="G46" s="51" t="s">
        <v>211</v>
      </c>
      <c r="H46" s="52" t="s">
        <v>212</v>
      </c>
      <c r="I46" s="41" t="s">
        <v>209</v>
      </c>
      <c r="J46" s="43"/>
      <c r="K46" s="43"/>
      <c r="L46" s="43" t="str">
        <f t="shared" si="3"/>
        <v>인게임기능</v>
      </c>
    </row>
    <row r="47" spans="1:12" ht="24">
      <c r="A47" s="43">
        <f t="shared" si="4"/>
        <v>46</v>
      </c>
      <c r="B47" s="67"/>
      <c r="C47" s="55"/>
      <c r="D47" s="55"/>
      <c r="E47" s="43" t="s">
        <v>213</v>
      </c>
      <c r="F47" s="36" t="s">
        <v>132</v>
      </c>
      <c r="G47" s="51" t="s">
        <v>214</v>
      </c>
      <c r="H47" s="52" t="s">
        <v>215</v>
      </c>
      <c r="I47" s="41" t="s">
        <v>209</v>
      </c>
      <c r="J47" s="43"/>
      <c r="K47" s="43"/>
      <c r="L47" s="43" t="str">
        <f t="shared" si="3"/>
        <v>인게임기능</v>
      </c>
    </row>
    <row r="48" spans="1:12" ht="24">
      <c r="A48" s="43">
        <f t="shared" si="4"/>
        <v>47</v>
      </c>
      <c r="B48" s="67"/>
      <c r="C48" s="55"/>
      <c r="D48" s="55"/>
      <c r="E48" s="43" t="s">
        <v>216</v>
      </c>
      <c r="F48" s="36" t="s">
        <v>132</v>
      </c>
      <c r="G48" s="51" t="s">
        <v>217</v>
      </c>
      <c r="H48" s="52" t="s">
        <v>218</v>
      </c>
      <c r="I48" s="41" t="s">
        <v>209</v>
      </c>
      <c r="J48" s="43"/>
      <c r="K48" s="43"/>
      <c r="L48" s="43" t="str">
        <f t="shared" si="3"/>
        <v>인게임기능</v>
      </c>
    </row>
    <row r="49" spans="1:12" ht="24">
      <c r="A49" s="43">
        <f t="shared" si="4"/>
        <v>48</v>
      </c>
      <c r="B49" s="67"/>
      <c r="C49" s="55"/>
      <c r="D49" s="55"/>
      <c r="E49" s="43" t="s">
        <v>219</v>
      </c>
      <c r="F49" s="36" t="s">
        <v>132</v>
      </c>
      <c r="G49" s="51" t="s">
        <v>220</v>
      </c>
      <c r="H49" s="52" t="s">
        <v>221</v>
      </c>
      <c r="I49" s="41" t="s">
        <v>209</v>
      </c>
      <c r="J49" s="43"/>
      <c r="K49" s="43"/>
      <c r="L49" s="43" t="str">
        <f t="shared" si="3"/>
        <v>인게임기능</v>
      </c>
    </row>
    <row r="50" spans="1:12" ht="24">
      <c r="A50" s="43">
        <f t="shared" si="4"/>
        <v>49</v>
      </c>
      <c r="B50" s="67"/>
      <c r="C50" s="55"/>
      <c r="D50" s="56"/>
      <c r="E50" s="43" t="s">
        <v>222</v>
      </c>
      <c r="F50" s="36" t="s">
        <v>132</v>
      </c>
      <c r="G50" s="51" t="s">
        <v>223</v>
      </c>
      <c r="H50" s="52" t="s">
        <v>224</v>
      </c>
      <c r="I50" s="41" t="s">
        <v>209</v>
      </c>
      <c r="J50" s="43"/>
      <c r="K50" s="43"/>
      <c r="L50" s="43" t="str">
        <f t="shared" si="3"/>
        <v>인게임기능</v>
      </c>
    </row>
    <row r="51" spans="1:12" ht="22.8">
      <c r="A51" s="53"/>
      <c r="B51" s="67"/>
      <c r="C51" s="55"/>
      <c r="D51" s="54" t="s">
        <v>252</v>
      </c>
      <c r="E51" s="123" t="s">
        <v>253</v>
      </c>
      <c r="F51" s="36" t="s">
        <v>132</v>
      </c>
      <c r="G51" s="53" t="s">
        <v>254</v>
      </c>
      <c r="H51" s="52" t="s">
        <v>255</v>
      </c>
      <c r="I51" s="41" t="s">
        <v>209</v>
      </c>
      <c r="J51" s="53"/>
      <c r="K51" s="53"/>
      <c r="L51" s="53"/>
    </row>
    <row r="52" spans="1:12" ht="34.200000000000003">
      <c r="A52" s="53"/>
      <c r="B52" s="67"/>
      <c r="C52" s="55"/>
      <c r="D52" s="55"/>
      <c r="E52" s="53" t="s">
        <v>256</v>
      </c>
      <c r="F52" s="36" t="s">
        <v>132</v>
      </c>
      <c r="G52" s="53" t="s">
        <v>257</v>
      </c>
      <c r="H52" s="52" t="s">
        <v>258</v>
      </c>
      <c r="I52" s="41" t="s">
        <v>209</v>
      </c>
      <c r="J52" s="53"/>
      <c r="K52" s="53"/>
      <c r="L52" s="53"/>
    </row>
    <row r="53" spans="1:12" ht="45.6">
      <c r="A53" s="53"/>
      <c r="B53" s="67"/>
      <c r="C53" s="55"/>
      <c r="D53" s="55"/>
      <c r="E53" s="53" t="s">
        <v>259</v>
      </c>
      <c r="F53" s="36" t="s">
        <v>132</v>
      </c>
      <c r="G53" s="53" t="s">
        <v>260</v>
      </c>
      <c r="H53" s="52" t="s">
        <v>261</v>
      </c>
      <c r="I53" s="41" t="s">
        <v>209</v>
      </c>
      <c r="J53" s="53"/>
      <c r="K53" s="53"/>
      <c r="L53" s="53"/>
    </row>
    <row r="54" spans="1:12" ht="45.6">
      <c r="A54" s="53"/>
      <c r="B54" s="67"/>
      <c r="C54" s="55"/>
      <c r="D54" s="55"/>
      <c r="E54" s="53" t="s">
        <v>262</v>
      </c>
      <c r="F54" s="36" t="s">
        <v>132</v>
      </c>
      <c r="G54" s="53" t="s">
        <v>263</v>
      </c>
      <c r="H54" s="52" t="s">
        <v>264</v>
      </c>
      <c r="I54" s="41" t="s">
        <v>209</v>
      </c>
      <c r="J54" s="53"/>
      <c r="K54" s="53"/>
      <c r="L54" s="53"/>
    </row>
    <row r="55" spans="1:12" ht="45.6">
      <c r="A55" s="53"/>
      <c r="B55" s="67"/>
      <c r="C55" s="55"/>
      <c r="D55" s="55"/>
      <c r="E55" s="53" t="s">
        <v>265</v>
      </c>
      <c r="F55" s="36" t="s">
        <v>132</v>
      </c>
      <c r="G55" s="53" t="s">
        <v>266</v>
      </c>
      <c r="H55" s="52" t="s">
        <v>267</v>
      </c>
      <c r="I55" s="41" t="s">
        <v>209</v>
      </c>
      <c r="J55" s="53"/>
      <c r="K55" s="53"/>
      <c r="L55" s="53"/>
    </row>
    <row r="56" spans="1:12" ht="45.6">
      <c r="A56" s="53"/>
      <c r="B56" s="67"/>
      <c r="C56" s="55"/>
      <c r="D56" s="56"/>
      <c r="E56" s="53" t="s">
        <v>268</v>
      </c>
      <c r="F56" s="36" t="s">
        <v>132</v>
      </c>
      <c r="G56" s="53" t="s">
        <v>269</v>
      </c>
      <c r="H56" s="52" t="s">
        <v>270</v>
      </c>
      <c r="I56" s="41" t="s">
        <v>209</v>
      </c>
      <c r="J56" s="53"/>
      <c r="K56" s="53"/>
      <c r="L56" s="53"/>
    </row>
    <row r="57" spans="1:12" ht="22.2">
      <c r="A57" s="40">
        <f t="shared" si="4"/>
        <v>56</v>
      </c>
      <c r="B57" s="67"/>
      <c r="C57" s="55"/>
      <c r="D57" s="33" t="s">
        <v>181</v>
      </c>
      <c r="E57" s="38" t="s">
        <v>187</v>
      </c>
      <c r="F57" s="36" t="s">
        <v>184</v>
      </c>
      <c r="G57" s="35" t="s">
        <v>188</v>
      </c>
      <c r="H57" s="38" t="s">
        <v>189</v>
      </c>
      <c r="I57" s="37" t="s">
        <v>125</v>
      </c>
      <c r="J57" s="35"/>
      <c r="K57" s="35"/>
      <c r="L57" s="43" t="str">
        <f>IF(B57="",L50,B57)</f>
        <v>인게임기능</v>
      </c>
    </row>
    <row r="58" spans="1:12" ht="33">
      <c r="A58" s="40">
        <f t="shared" si="4"/>
        <v>57</v>
      </c>
      <c r="B58" s="67"/>
      <c r="C58" s="55"/>
      <c r="D58" s="54" t="s">
        <v>136</v>
      </c>
      <c r="E58" s="38" t="s">
        <v>177</v>
      </c>
      <c r="F58" s="35" t="s">
        <v>143</v>
      </c>
      <c r="G58" s="35" t="s">
        <v>165</v>
      </c>
      <c r="H58" s="38" t="s">
        <v>144</v>
      </c>
      <c r="I58" s="37" t="s">
        <v>125</v>
      </c>
      <c r="J58" s="35"/>
      <c r="K58" s="35"/>
      <c r="L58" s="35" t="str">
        <f t="shared" si="3"/>
        <v>인게임기능</v>
      </c>
    </row>
    <row r="59" spans="1:12" ht="33">
      <c r="A59" s="40">
        <f t="shared" si="4"/>
        <v>58</v>
      </c>
      <c r="B59" s="67"/>
      <c r="C59" s="56"/>
      <c r="D59" s="56"/>
      <c r="E59" s="34" t="s">
        <v>178</v>
      </c>
      <c r="F59" s="39" t="s">
        <v>143</v>
      </c>
      <c r="G59" s="39" t="s">
        <v>179</v>
      </c>
      <c r="H59" s="34" t="s">
        <v>180</v>
      </c>
      <c r="I59" s="37" t="s">
        <v>126</v>
      </c>
      <c r="J59" s="35" t="s">
        <v>134</v>
      </c>
      <c r="K59" s="35"/>
      <c r="L59" s="35" t="str">
        <f t="shared" si="3"/>
        <v>인게임기능</v>
      </c>
    </row>
    <row r="60" spans="1:12" ht="33.6">
      <c r="A60" s="43">
        <f t="shared" si="4"/>
        <v>59</v>
      </c>
      <c r="B60" s="67"/>
      <c r="C60" s="54" t="s">
        <v>138</v>
      </c>
      <c r="D60" s="64" t="s">
        <v>130</v>
      </c>
      <c r="E60" s="45" t="s">
        <v>225</v>
      </c>
      <c r="F60" s="44" t="s">
        <v>143</v>
      </c>
      <c r="G60" s="44" t="s">
        <v>226</v>
      </c>
      <c r="H60" s="45" t="s">
        <v>227</v>
      </c>
      <c r="I60" s="41" t="s">
        <v>125</v>
      </c>
      <c r="J60" s="43"/>
      <c r="K60" s="43"/>
      <c r="L60" s="43" t="str">
        <f t="shared" si="3"/>
        <v>인게임기능</v>
      </c>
    </row>
    <row r="61" spans="1:12" ht="33">
      <c r="A61" s="40">
        <f t="shared" si="4"/>
        <v>60</v>
      </c>
      <c r="B61" s="67"/>
      <c r="C61" s="55"/>
      <c r="D61" s="65"/>
      <c r="E61" s="34" t="s">
        <v>131</v>
      </c>
      <c r="F61" s="24" t="s">
        <v>132</v>
      </c>
      <c r="G61" s="39" t="s">
        <v>160</v>
      </c>
      <c r="H61" s="34" t="s">
        <v>133</v>
      </c>
      <c r="I61" s="37" t="s">
        <v>126</v>
      </c>
      <c r="J61" s="35" t="s">
        <v>134</v>
      </c>
      <c r="K61" s="35"/>
      <c r="L61" s="35" t="str">
        <f>IF(B61="",L37,B61)</f>
        <v>인게임기능</v>
      </c>
    </row>
    <row r="62" spans="1:12" ht="22.2">
      <c r="A62" s="40">
        <f t="shared" si="4"/>
        <v>61</v>
      </c>
      <c r="B62" s="67"/>
      <c r="C62" s="55"/>
      <c r="D62" s="33" t="s">
        <v>182</v>
      </c>
      <c r="E62" s="38" t="s">
        <v>183</v>
      </c>
      <c r="F62" s="36" t="s">
        <v>184</v>
      </c>
      <c r="G62" s="35" t="s">
        <v>185</v>
      </c>
      <c r="H62" s="38" t="s">
        <v>186</v>
      </c>
      <c r="I62" s="37" t="s">
        <v>125</v>
      </c>
      <c r="J62" s="35"/>
      <c r="K62" s="35"/>
      <c r="L62" s="35" t="str">
        <f>IF(B62="",L38,B62)</f>
        <v>인게임기능</v>
      </c>
    </row>
    <row r="63" spans="1:12" ht="22.8">
      <c r="A63" s="40">
        <f t="shared" si="4"/>
        <v>62</v>
      </c>
      <c r="B63" s="67"/>
      <c r="C63" s="56"/>
      <c r="D63" s="32" t="s">
        <v>173</v>
      </c>
      <c r="E63" s="38" t="s">
        <v>174</v>
      </c>
      <c r="F63" s="36" t="s">
        <v>132</v>
      </c>
      <c r="G63" s="35" t="s">
        <v>175</v>
      </c>
      <c r="H63" s="38" t="s">
        <v>176</v>
      </c>
      <c r="I63" s="37" t="s">
        <v>125</v>
      </c>
      <c r="J63" s="35"/>
      <c r="K63" s="35"/>
      <c r="L63" s="35" t="str">
        <f>IF(B63="",L40,B63)</f>
        <v>인게임기능</v>
      </c>
    </row>
    <row r="64" spans="1:12" ht="22.2">
      <c r="A64" s="40">
        <f t="shared" si="4"/>
        <v>63</v>
      </c>
      <c r="B64" s="67"/>
      <c r="C64" s="57" t="s">
        <v>228</v>
      </c>
      <c r="D64" s="78" t="s">
        <v>229</v>
      </c>
      <c r="E64" s="38" t="s">
        <v>230</v>
      </c>
      <c r="F64" s="36" t="s">
        <v>184</v>
      </c>
      <c r="G64" s="35" t="s">
        <v>231</v>
      </c>
      <c r="H64" s="38" t="s">
        <v>232</v>
      </c>
      <c r="I64" s="37" t="s">
        <v>125</v>
      </c>
      <c r="J64" s="35"/>
      <c r="K64" s="35"/>
      <c r="L64" s="43" t="str">
        <f>IF(B64="",L45,B64)</f>
        <v>인게임기능</v>
      </c>
    </row>
    <row r="65" spans="1:12" ht="33">
      <c r="A65" s="40">
        <f t="shared" si="4"/>
        <v>64</v>
      </c>
      <c r="B65" s="67"/>
      <c r="C65" s="67"/>
      <c r="D65" s="77"/>
      <c r="E65" s="38" t="s">
        <v>233</v>
      </c>
      <c r="F65" s="36" t="s">
        <v>184</v>
      </c>
      <c r="G65" s="35" t="s">
        <v>234</v>
      </c>
      <c r="H65" s="38" t="s">
        <v>235</v>
      </c>
      <c r="I65" s="41" t="s">
        <v>125</v>
      </c>
      <c r="J65" s="35"/>
      <c r="K65" s="10"/>
      <c r="L65" s="43" t="str">
        <f>IF(B65="",L46,B65)</f>
        <v>인게임기능</v>
      </c>
    </row>
    <row r="66" spans="1:12" ht="12.75" customHeight="1">
      <c r="A66" s="40">
        <f t="shared" si="4"/>
        <v>65</v>
      </c>
      <c r="B66" s="67"/>
      <c r="C66" s="67"/>
      <c r="D66" s="76"/>
      <c r="E66" s="10"/>
      <c r="F66" s="10"/>
      <c r="G66" s="10"/>
      <c r="H66" s="10"/>
      <c r="I66" s="19"/>
      <c r="J66" s="10"/>
      <c r="K66" s="10"/>
      <c r="L66" s="10"/>
    </row>
    <row r="67" spans="1:12" ht="12.75" customHeight="1">
      <c r="A67" s="40">
        <f t="shared" si="4"/>
        <v>66</v>
      </c>
      <c r="B67" s="67"/>
      <c r="C67" s="67"/>
      <c r="D67" s="77"/>
      <c r="E67" s="10"/>
      <c r="F67" s="10"/>
      <c r="G67" s="10"/>
      <c r="H67" s="10"/>
      <c r="I67" s="19"/>
      <c r="J67" s="10"/>
      <c r="K67" s="10"/>
      <c r="L67" s="10"/>
    </row>
    <row r="68" spans="1:12" ht="13.2">
      <c r="A68" s="40">
        <f t="shared" si="4"/>
        <v>67</v>
      </c>
      <c r="B68" s="67"/>
      <c r="C68" s="67"/>
      <c r="D68" s="20"/>
      <c r="E68" s="10"/>
      <c r="F68" s="10"/>
      <c r="G68" s="10"/>
      <c r="H68" s="10"/>
      <c r="I68" s="19"/>
      <c r="J68" s="10"/>
      <c r="K68" s="10"/>
      <c r="L68" s="10"/>
    </row>
    <row r="69" spans="1:12" ht="13.2">
      <c r="A69" s="40"/>
      <c r="B69" s="67"/>
      <c r="C69" s="67"/>
      <c r="D69" s="69"/>
      <c r="E69" s="69"/>
      <c r="F69" s="10"/>
      <c r="G69" s="10"/>
      <c r="H69" s="10"/>
      <c r="I69" s="19"/>
      <c r="J69" s="10"/>
      <c r="K69" s="10"/>
      <c r="L69" s="10"/>
    </row>
    <row r="70" spans="1:12" ht="13.2">
      <c r="A70" s="40"/>
      <c r="B70" s="67"/>
      <c r="C70" s="67"/>
      <c r="D70" s="67"/>
      <c r="E70" s="67"/>
      <c r="F70" s="10"/>
      <c r="G70" s="10"/>
      <c r="H70" s="10"/>
      <c r="I70" s="19"/>
      <c r="J70" s="10"/>
      <c r="K70" s="10"/>
      <c r="L70" s="10"/>
    </row>
    <row r="71" spans="1:12" ht="13.2">
      <c r="A71" s="40"/>
      <c r="B71" s="67"/>
      <c r="C71" s="67"/>
      <c r="D71" s="20"/>
      <c r="E71" s="18"/>
      <c r="F71" s="10"/>
      <c r="G71" s="10"/>
      <c r="H71" s="10"/>
      <c r="I71" s="19"/>
      <c r="J71" s="10"/>
      <c r="K71" s="10"/>
      <c r="L71" s="10"/>
    </row>
    <row r="72" spans="1:12" ht="13.2">
      <c r="A72" s="40"/>
      <c r="B72" s="67"/>
      <c r="C72" s="67"/>
      <c r="D72" s="20"/>
      <c r="E72" s="10"/>
      <c r="F72" s="10"/>
      <c r="G72" s="10"/>
      <c r="H72" s="10"/>
      <c r="I72" s="19"/>
      <c r="J72" s="10"/>
      <c r="K72" s="10"/>
      <c r="L72" s="10"/>
    </row>
    <row r="73" spans="1:12" ht="13.2">
      <c r="A73" s="40"/>
      <c r="B73" s="67"/>
      <c r="C73" s="67"/>
      <c r="D73" s="20"/>
      <c r="E73" s="10"/>
      <c r="F73" s="10"/>
      <c r="G73" s="10"/>
      <c r="H73" s="10"/>
      <c r="I73" s="19"/>
      <c r="J73" s="10"/>
      <c r="K73" s="10"/>
      <c r="L73" s="22"/>
    </row>
    <row r="74" spans="1:12" ht="12.75" customHeight="1">
      <c r="E74" s="22"/>
      <c r="F74" s="22"/>
      <c r="G74" s="22"/>
      <c r="H74" s="22"/>
      <c r="I74" s="23"/>
      <c r="J74" s="22"/>
      <c r="K74" s="22"/>
    </row>
  </sheetData>
  <mergeCells count="24">
    <mergeCell ref="C60:C63"/>
    <mergeCell ref="D60:D61"/>
    <mergeCell ref="B6:B13"/>
    <mergeCell ref="E69:E70"/>
    <mergeCell ref="B2:B5"/>
    <mergeCell ref="C3:C5"/>
    <mergeCell ref="C6:C13"/>
    <mergeCell ref="B14:B73"/>
    <mergeCell ref="C64:C73"/>
    <mergeCell ref="D69:D70"/>
    <mergeCell ref="D14:D21"/>
    <mergeCell ref="D22:D26"/>
    <mergeCell ref="D9:D10"/>
    <mergeCell ref="D6:D8"/>
    <mergeCell ref="D66:D67"/>
    <mergeCell ref="D64:D65"/>
    <mergeCell ref="D45:D50"/>
    <mergeCell ref="D34:D40"/>
    <mergeCell ref="D11:D13"/>
    <mergeCell ref="C14:C59"/>
    <mergeCell ref="D58:D59"/>
    <mergeCell ref="D27:D33"/>
    <mergeCell ref="D41:D44"/>
    <mergeCell ref="D51:D56"/>
  </mergeCells>
  <phoneticPr fontId="8" type="noConversion"/>
  <conditionalFormatting sqref="A1:G1">
    <cfRule type="containsBlanks" dxfId="81" priority="127">
      <formula>LEN(TRIM(A1))=0</formula>
    </cfRule>
    <cfRule type="containsText" dxfId="80" priority="130" operator="containsText" text="Pass">
      <formula>NOT(ISERROR(SEARCH(("Pass"),(A1))))</formula>
    </cfRule>
    <cfRule type="containsText" dxfId="79" priority="134" operator="containsText" text="Fail">
      <formula>NOT(ISERROR(SEARCH(("Fail"),(A1))))</formula>
    </cfRule>
    <cfRule type="containsText" dxfId="78" priority="138" operator="containsText" text="Block">
      <formula>NOT(ISERROR(SEARCH(("Block"),(A1))))</formula>
    </cfRule>
    <cfRule type="containsText" dxfId="77" priority="142" operator="containsText" text="N/A">
      <formula>NOT(ISERROR(SEARCH(("N/A"),(A1))))</formula>
    </cfRule>
    <cfRule type="containsText" dxfId="76" priority="146" operator="containsText" text="N/T">
      <formula>NOT(ISERROR(SEARCH(("N/T"),(A1))))</formula>
    </cfRule>
  </conditionalFormatting>
  <conditionalFormatting sqref="I1">
    <cfRule type="containsText" dxfId="75" priority="133" operator="containsText" text="Pass">
      <formula>NOT(ISERROR(SEARCH(("Pass"),(I1))))</formula>
    </cfRule>
    <cfRule type="containsText" dxfId="74" priority="137" operator="containsText" text="Fail">
      <formula>NOT(ISERROR(SEARCH(("Fail"),(I1))))</formula>
    </cfRule>
    <cfRule type="containsText" dxfId="73" priority="141" operator="containsText" text="Block">
      <formula>NOT(ISERROR(SEARCH(("Block"),(I1))))</formula>
    </cfRule>
    <cfRule type="containsText" dxfId="72" priority="145" operator="containsText" text="N/A">
      <formula>NOT(ISERROR(SEARCH(("N/A"),(I1))))</formula>
    </cfRule>
  </conditionalFormatting>
  <conditionalFormatting sqref="I66:I73 I1:I12 I57 I31:I44">
    <cfRule type="containsBlanks" dxfId="71" priority="128">
      <formula>LEN(TRIM(I1))=0</formula>
    </cfRule>
    <cfRule type="containsText" dxfId="70" priority="147" operator="containsText" text="N/T">
      <formula>NOT(ISERROR(SEARCH(("N/T"),(I1))))</formula>
    </cfRule>
  </conditionalFormatting>
  <conditionalFormatting sqref="I66:I73 I2:I12 I57 I31:I44">
    <cfRule type="containsText" dxfId="69" priority="131" operator="containsText" text="Pass">
      <formula>NOT(ISERROR(SEARCH(("Pass"),(I2))))</formula>
    </cfRule>
    <cfRule type="containsText" dxfId="68" priority="135" operator="containsText" text="Fail">
      <formula>NOT(ISERROR(SEARCH(("Fail"),(I2))))</formula>
    </cfRule>
    <cfRule type="containsText" dxfId="67" priority="139" operator="containsText" text="Block">
      <formula>NOT(ISERROR(SEARCH(("Block"),(I2))))</formula>
    </cfRule>
    <cfRule type="containsText" dxfId="66" priority="143" operator="containsText" text="N/A">
      <formula>NOT(ISERROR(SEARCH(("N/A"),(I2))))</formula>
    </cfRule>
  </conditionalFormatting>
  <conditionalFormatting sqref="J1:L1">
    <cfRule type="containsBlanks" dxfId="65" priority="129">
      <formula>LEN(TRIM(J1))=0</formula>
    </cfRule>
    <cfRule type="containsText" dxfId="64" priority="132" operator="containsText" text="Pass">
      <formula>NOT(ISERROR(SEARCH(("Pass"),(J1))))</formula>
    </cfRule>
    <cfRule type="containsText" dxfId="63" priority="136" operator="containsText" text="Fail">
      <formula>NOT(ISERROR(SEARCH(("Fail"),(J1))))</formula>
    </cfRule>
    <cfRule type="containsText" dxfId="62" priority="140" operator="containsText" text="Block">
      <formula>NOT(ISERROR(SEARCH(("Block"),(J1))))</formula>
    </cfRule>
    <cfRule type="containsText" dxfId="61" priority="144" operator="containsText" text="N/A">
      <formula>NOT(ISERROR(SEARCH(("N/A"),(J1))))</formula>
    </cfRule>
    <cfRule type="containsText" dxfId="60" priority="148" operator="containsText" text="N/T">
      <formula>NOT(ISERROR(SEARCH(("N/T"),(J1))))</formula>
    </cfRule>
  </conditionalFormatting>
  <conditionalFormatting sqref="I14:I26">
    <cfRule type="containsBlanks" dxfId="59" priority="85">
      <formula>LEN(TRIM(I14))=0</formula>
    </cfRule>
    <cfRule type="containsText" dxfId="58" priority="90" operator="containsText" text="N/T">
      <formula>NOT(ISERROR(SEARCH(("N/T"),(I14))))</formula>
    </cfRule>
  </conditionalFormatting>
  <conditionalFormatting sqref="I14:I26">
    <cfRule type="containsText" dxfId="57" priority="86" operator="containsText" text="Pass">
      <formula>NOT(ISERROR(SEARCH(("Pass"),(I14))))</formula>
    </cfRule>
    <cfRule type="containsText" dxfId="56" priority="87" operator="containsText" text="Fail">
      <formula>NOT(ISERROR(SEARCH(("Fail"),(I14))))</formula>
    </cfRule>
    <cfRule type="containsText" dxfId="55" priority="88" operator="containsText" text="Block">
      <formula>NOT(ISERROR(SEARCH(("Block"),(I14))))</formula>
    </cfRule>
    <cfRule type="containsText" dxfId="54" priority="89" operator="containsText" text="N/A">
      <formula>NOT(ISERROR(SEARCH(("N/A"),(I14))))</formula>
    </cfRule>
  </conditionalFormatting>
  <conditionalFormatting sqref="I64">
    <cfRule type="containsBlanks" dxfId="53" priority="61">
      <formula>LEN(TRIM(I64))=0</formula>
    </cfRule>
    <cfRule type="containsText" dxfId="52" priority="66" operator="containsText" text="N/T">
      <formula>NOT(ISERROR(SEARCH(("N/T"),(I64))))</formula>
    </cfRule>
  </conditionalFormatting>
  <conditionalFormatting sqref="I64">
    <cfRule type="containsText" dxfId="51" priority="62" operator="containsText" text="Pass">
      <formula>NOT(ISERROR(SEARCH(("Pass"),(I64))))</formula>
    </cfRule>
    <cfRule type="containsText" dxfId="50" priority="63" operator="containsText" text="Fail">
      <formula>NOT(ISERROR(SEARCH(("Fail"),(I64))))</formula>
    </cfRule>
    <cfRule type="containsText" dxfId="49" priority="64" operator="containsText" text="Block">
      <formula>NOT(ISERROR(SEARCH(("Block"),(I64))))</formula>
    </cfRule>
    <cfRule type="containsText" dxfId="48" priority="65" operator="containsText" text="N/A">
      <formula>NOT(ISERROR(SEARCH(("N/A"),(I64))))</formula>
    </cfRule>
  </conditionalFormatting>
  <conditionalFormatting sqref="I61:I62">
    <cfRule type="containsBlanks" dxfId="47" priority="55">
      <formula>LEN(TRIM(I61))=0</formula>
    </cfRule>
    <cfRule type="containsText" dxfId="46" priority="60" operator="containsText" text="N/T">
      <formula>NOT(ISERROR(SEARCH(("N/T"),(I61))))</formula>
    </cfRule>
  </conditionalFormatting>
  <conditionalFormatting sqref="I61:I62">
    <cfRule type="containsText" dxfId="45" priority="56" operator="containsText" text="Pass">
      <formula>NOT(ISERROR(SEARCH(("Pass"),(I61))))</formula>
    </cfRule>
    <cfRule type="containsText" dxfId="44" priority="57" operator="containsText" text="Fail">
      <formula>NOT(ISERROR(SEARCH(("Fail"),(I61))))</formula>
    </cfRule>
    <cfRule type="containsText" dxfId="43" priority="58" operator="containsText" text="Block">
      <formula>NOT(ISERROR(SEARCH(("Block"),(I61))))</formula>
    </cfRule>
    <cfRule type="containsText" dxfId="42" priority="59" operator="containsText" text="N/A">
      <formula>NOT(ISERROR(SEARCH(("N/A"),(I61))))</formula>
    </cfRule>
  </conditionalFormatting>
  <conditionalFormatting sqref="I13">
    <cfRule type="containsBlanks" dxfId="41" priority="49">
      <formula>LEN(TRIM(I13))=0</formula>
    </cfRule>
    <cfRule type="containsText" dxfId="40" priority="54" operator="containsText" text="N/T">
      <formula>NOT(ISERROR(SEARCH(("N/T"),(I13))))</formula>
    </cfRule>
  </conditionalFormatting>
  <conditionalFormatting sqref="I13">
    <cfRule type="containsText" dxfId="39" priority="50" operator="containsText" text="Pass">
      <formula>NOT(ISERROR(SEARCH(("Pass"),(I13))))</formula>
    </cfRule>
    <cfRule type="containsText" dxfId="38" priority="51" operator="containsText" text="Fail">
      <formula>NOT(ISERROR(SEARCH(("Fail"),(I13))))</formula>
    </cfRule>
    <cfRule type="containsText" dxfId="37" priority="52" operator="containsText" text="Block">
      <formula>NOT(ISERROR(SEARCH(("Block"),(I13))))</formula>
    </cfRule>
    <cfRule type="containsText" dxfId="36" priority="53" operator="containsText" text="N/A">
      <formula>NOT(ISERROR(SEARCH(("N/A"),(I13))))</formula>
    </cfRule>
  </conditionalFormatting>
  <conditionalFormatting sqref="I27:I29">
    <cfRule type="containsBlanks" dxfId="35" priority="37">
      <formula>LEN(TRIM(I27))=0</formula>
    </cfRule>
    <cfRule type="containsText" dxfId="34" priority="42" operator="containsText" text="N/T">
      <formula>NOT(ISERROR(SEARCH(("N/T"),(I27))))</formula>
    </cfRule>
  </conditionalFormatting>
  <conditionalFormatting sqref="I27:I29">
    <cfRule type="containsText" dxfId="33" priority="38" operator="containsText" text="Pass">
      <formula>NOT(ISERROR(SEARCH(("Pass"),(I27))))</formula>
    </cfRule>
    <cfRule type="containsText" dxfId="32" priority="39" operator="containsText" text="Fail">
      <formula>NOT(ISERROR(SEARCH(("Fail"),(I27))))</formula>
    </cfRule>
    <cfRule type="containsText" dxfId="31" priority="40" operator="containsText" text="Block">
      <formula>NOT(ISERROR(SEARCH(("Block"),(I27))))</formula>
    </cfRule>
    <cfRule type="containsText" dxfId="30" priority="41" operator="containsText" text="N/A">
      <formula>NOT(ISERROR(SEARCH(("N/A"),(I27))))</formula>
    </cfRule>
  </conditionalFormatting>
  <conditionalFormatting sqref="I30">
    <cfRule type="containsBlanks" dxfId="29" priority="31">
      <formula>LEN(TRIM(I30))=0</formula>
    </cfRule>
    <cfRule type="containsText" dxfId="28" priority="36" operator="containsText" text="N/T">
      <formula>NOT(ISERROR(SEARCH(("N/T"),(I30))))</formula>
    </cfRule>
  </conditionalFormatting>
  <conditionalFormatting sqref="I30">
    <cfRule type="containsText" dxfId="27" priority="32" operator="containsText" text="Pass">
      <formula>NOT(ISERROR(SEARCH(("Pass"),(I30))))</formula>
    </cfRule>
    <cfRule type="containsText" dxfId="26" priority="33" operator="containsText" text="Fail">
      <formula>NOT(ISERROR(SEARCH(("Fail"),(I30))))</formula>
    </cfRule>
    <cfRule type="containsText" dxfId="25" priority="34" operator="containsText" text="Block">
      <formula>NOT(ISERROR(SEARCH(("Block"),(I30))))</formula>
    </cfRule>
    <cfRule type="containsText" dxfId="24" priority="35" operator="containsText" text="N/A">
      <formula>NOT(ISERROR(SEARCH(("N/A"),(I30))))</formula>
    </cfRule>
  </conditionalFormatting>
  <conditionalFormatting sqref="I63">
    <cfRule type="containsBlanks" dxfId="23" priority="19">
      <formula>LEN(TRIM(I63))=0</formula>
    </cfRule>
    <cfRule type="containsText" dxfId="22" priority="24" operator="containsText" text="N/T">
      <formula>NOT(ISERROR(SEARCH(("N/T"),(I63))))</formula>
    </cfRule>
  </conditionalFormatting>
  <conditionalFormatting sqref="I63">
    <cfRule type="containsText" dxfId="21" priority="20" operator="containsText" text="Pass">
      <formula>NOT(ISERROR(SEARCH(("Pass"),(I63))))</formula>
    </cfRule>
    <cfRule type="containsText" dxfId="20" priority="21" operator="containsText" text="Fail">
      <formula>NOT(ISERROR(SEARCH(("Fail"),(I63))))</formula>
    </cfRule>
    <cfRule type="containsText" dxfId="19" priority="22" operator="containsText" text="Block">
      <formula>NOT(ISERROR(SEARCH(("Block"),(I63))))</formula>
    </cfRule>
    <cfRule type="containsText" dxfId="18" priority="23" operator="containsText" text="N/A">
      <formula>NOT(ISERROR(SEARCH(("N/A"),(I63))))</formula>
    </cfRule>
  </conditionalFormatting>
  <conditionalFormatting sqref="I58:I60">
    <cfRule type="containsBlanks" dxfId="17" priority="13">
      <formula>LEN(TRIM(I58))=0</formula>
    </cfRule>
    <cfRule type="containsText" dxfId="16" priority="18" operator="containsText" text="N/T">
      <formula>NOT(ISERROR(SEARCH(("N/T"),(I58))))</formula>
    </cfRule>
  </conditionalFormatting>
  <conditionalFormatting sqref="I58:I60">
    <cfRule type="containsText" dxfId="15" priority="14" operator="containsText" text="Pass">
      <formula>NOT(ISERROR(SEARCH(("Pass"),(I58))))</formula>
    </cfRule>
    <cfRule type="containsText" dxfId="14" priority="15" operator="containsText" text="Fail">
      <formula>NOT(ISERROR(SEARCH(("Fail"),(I58))))</formula>
    </cfRule>
    <cfRule type="containsText" dxfId="13" priority="16" operator="containsText" text="Block">
      <formula>NOT(ISERROR(SEARCH(("Block"),(I58))))</formula>
    </cfRule>
    <cfRule type="containsText" dxfId="12" priority="17" operator="containsText" text="N/A">
      <formula>NOT(ISERROR(SEARCH(("N/A"),(I58))))</formula>
    </cfRule>
  </conditionalFormatting>
  <conditionalFormatting sqref="I45:I56">
    <cfRule type="containsBlanks" dxfId="11" priority="7">
      <formula>LEN(TRIM(I45))=0</formula>
    </cfRule>
    <cfRule type="containsText" dxfId="10" priority="12" operator="containsText" text="N/T">
      <formula>NOT(ISERROR(SEARCH(("N/T"),(I45))))</formula>
    </cfRule>
  </conditionalFormatting>
  <conditionalFormatting sqref="I45:I56">
    <cfRule type="containsText" dxfId="9" priority="8" operator="containsText" text="Pass">
      <formula>NOT(ISERROR(SEARCH(("Pass"),(I45))))</formula>
    </cfRule>
    <cfRule type="containsText" dxfId="8" priority="9" operator="containsText" text="Fail">
      <formula>NOT(ISERROR(SEARCH(("Fail"),(I45))))</formula>
    </cfRule>
    <cfRule type="containsText" dxfId="7" priority="10" operator="containsText" text="Block">
      <formula>NOT(ISERROR(SEARCH(("Block"),(I45))))</formula>
    </cfRule>
    <cfRule type="containsText" dxfId="6" priority="11" operator="containsText" text="N/A">
      <formula>NOT(ISERROR(SEARCH(("N/A"),(I45))))</formula>
    </cfRule>
  </conditionalFormatting>
  <conditionalFormatting sqref="I65">
    <cfRule type="containsBlanks" dxfId="5" priority="1">
      <formula>LEN(TRIM(I65))=0</formula>
    </cfRule>
    <cfRule type="containsText" dxfId="4" priority="6" operator="containsText" text="N/T">
      <formula>NOT(ISERROR(SEARCH(("N/T"),(I65))))</formula>
    </cfRule>
  </conditionalFormatting>
  <conditionalFormatting sqref="I65">
    <cfRule type="containsText" dxfId="3" priority="2" operator="containsText" text="Pass">
      <formula>NOT(ISERROR(SEARCH(("Pass"),(I65))))</formula>
    </cfRule>
    <cfRule type="containsText" dxfId="2" priority="3" operator="containsText" text="Fail">
      <formula>NOT(ISERROR(SEARCH(("Fail"),(I65))))</formula>
    </cfRule>
    <cfRule type="containsText" dxfId="1" priority="4" operator="containsText" text="Block">
      <formula>NOT(ISERROR(SEARCH(("Block"),(I65))))</formula>
    </cfRule>
    <cfRule type="containsText" dxfId="0" priority="5" operator="containsText" text="N/A">
      <formula>NOT(ISERROR(SEARCH(("N/A"),(I65))))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546875" defaultRowHeight="12.75" customHeight="1"/>
  <cols>
    <col min="1" max="1" width="23.5546875" customWidth="1"/>
    <col min="2" max="2" width="6.44140625" customWidth="1"/>
    <col min="3" max="3" width="15.6640625" customWidth="1"/>
    <col min="4" max="9" width="8.6640625" bestFit="1" customWidth="1"/>
    <col min="10" max="10" width="9.6640625" bestFit="1" customWidth="1"/>
  </cols>
  <sheetData>
    <row r="1" spans="1:10" ht="12.75" customHeight="1">
      <c r="A1" s="1" t="s">
        <v>30</v>
      </c>
    </row>
    <row r="2" spans="1:10" ht="12.75" customHeight="1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>
      <c r="A3" s="3" t="s">
        <v>11</v>
      </c>
      <c r="B3" s="4">
        <f>COUNTIF(TestCase!L:L,A3)</f>
        <v>3</v>
      </c>
      <c r="C3" s="5">
        <f t="shared" ref="C3:C5" si="0">IFERROR(B3/$B$6,0)</f>
        <v>5.2631578947368418E-2</v>
      </c>
      <c r="D3" s="4">
        <f>COUNTIFS(TestCase!$I:$I,"*"&amp;D$2&amp;"*",TestCase!$L:$L,$A3)</f>
        <v>0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3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>
      <c r="A4" s="3" t="s">
        <v>23</v>
      </c>
      <c r="B4" s="4">
        <f>COUNTIF(TestCase!L:L,A4)</f>
        <v>8</v>
      </c>
      <c r="C4" s="5">
        <f t="shared" si="0"/>
        <v>0.14035087719298245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>
      <c r="A5" s="3" t="s">
        <v>24</v>
      </c>
      <c r="B5" s="4">
        <f>COUNTIF(TestCase!L:L,A5)</f>
        <v>46</v>
      </c>
      <c r="C5" s="5">
        <f t="shared" si="0"/>
        <v>0.80701754385964908</v>
      </c>
      <c r="D5" s="4">
        <f>COUNTIFS(TestCase!$I:$I,"*"&amp;D$2&amp;"*",TestCase!$L:$L,$A5)</f>
        <v>42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46</v>
      </c>
      <c r="J5" s="7">
        <f t="shared" si="2"/>
        <v>1</v>
      </c>
    </row>
    <row r="6" spans="1:10" ht="12.75" customHeight="1">
      <c r="A6" s="8" t="s">
        <v>28</v>
      </c>
      <c r="B6" s="8">
        <f t="shared" ref="B6:H6" si="3">SUM(B3:B5)</f>
        <v>57</v>
      </c>
      <c r="C6" s="9">
        <f>SUM(C3:C5)</f>
        <v>1</v>
      </c>
      <c r="D6" s="6">
        <f t="shared" si="3"/>
        <v>49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3</v>
      </c>
      <c r="I6" s="6">
        <f>SUM(I3:I5)</f>
        <v>54</v>
      </c>
      <c r="J6" s="6"/>
    </row>
    <row r="7" spans="1:10" ht="12.75" customHeight="1">
      <c r="A7" s="8" t="s">
        <v>29</v>
      </c>
      <c r="B7" s="8"/>
      <c r="C7" s="8"/>
      <c r="D7" s="7">
        <f t="shared" ref="D7:I7" si="4">D6/$B6</f>
        <v>0.85964912280701755</v>
      </c>
      <c r="E7" s="7">
        <f t="shared" si="4"/>
        <v>8.771929824561403E-2</v>
      </c>
      <c r="F7" s="7">
        <f t="shared" si="4"/>
        <v>0</v>
      </c>
      <c r="G7" s="7">
        <f t="shared" si="4"/>
        <v>0</v>
      </c>
      <c r="H7" s="7">
        <f t="shared" si="4"/>
        <v>5.2631578947368418E-2</v>
      </c>
      <c r="I7" s="7">
        <f t="shared" si="4"/>
        <v>0.94736842105263153</v>
      </c>
      <c r="J7" s="6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게임을 실행한다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제목표시줄 내용을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게임중 윈도우를 최소화 후 복귀한다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윈도우를 닫는다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 시작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설정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 종료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사운드 볼륨을 조절한다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Exit를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8"/>
  <sheetViews>
    <sheetView zoomScale="130" zoomScaleNormal="130" workbookViewId="0">
      <selection activeCell="M39" sqref="M39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Scene 별로 사운드가 동일하게 조절되는지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8"/>
  <sheetViews>
    <sheetView zoomScale="130" zoomScaleNormal="130" workbookViewId="0">
      <selection activeCell="H52" sqref="H5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볼륨을 올린다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볼륨을 내린다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NPC와 대화한다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UI가 닫히는지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UI가 표시되는 동안 플레이어 이동이 제한된다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UI를 닫은 후 플레이어 이동 제한이 해제된다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18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상점에서 아이템 구매 확인창이 뜨는지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확인창에서 "네"를 선택한다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확인창에서 "아니오"를  선택한다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38"/>
  <sheetViews>
    <sheetView zoomScale="130" zoomScaleNormal="130" workbookViewId="0">
      <selection activeCell="O28" sqref="O2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시 재화가 차감된다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창을 활성화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창을 비활성화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UI가 출력되는 중 플레이어가 이동가능 여부를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후 인벤토리에 아이템이 추가된다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일반 NPC에게 아이템을 사용 후 해당 아이템이 인벤토리 창에서 차감되는지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처음 대화 시작 시 호감도가 0으로 표시된다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증가하는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감소하는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불변하는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NPC에게 할당되지 않은 호감도 아이템을 선물한다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NPC에게 할당된 호감도 아이템을 선물한다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호감도가 일정 수치에 도달하면 플레이어에게 귀속된다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플레이어 이름을 입력한다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 이름을 입력한다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방을 생성한다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생성된 방에 참가한다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게임을 시작한다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플레이어 이름을 입력하지 않고 방을 생성 / 참가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38"/>
  <sheetViews>
    <sheetView zoomScale="130" zoomScaleNormal="130" workbookViewId="0">
      <selection activeCell="A13" sqref="A13:J37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 이름을 입력하지 않고 방을 생성 / 참가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NPC와 일반 대화를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NPC와 대화가 중복 실행되는지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대화창 텍스트가 정상적으로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대화 중 다음 대화로 넘어간다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W(앞으로가기)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S(뒤로가기)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A(왼쪽으로가기)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D(오른쪽으로가기)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스페이스바(점프)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W를 누르는 중 Shift(달리기)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38"/>
  <sheetViews>
    <sheetView zoomScale="130" zoomScaleNormal="130" workbookViewId="0">
      <selection activeCell="R30" sqref="R30:R3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전용 대화가 정상적으로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퀘스트가 정상적으로 완료됬는지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완료 후 퀘스트 대화가 다시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9" t="s">
        <v>126</v>
      </c>
      <c r="D38" s="120"/>
      <c r="E38" s="120"/>
      <c r="F38" s="120"/>
      <c r="G38" s="120"/>
      <c r="H38" s="120"/>
      <c r="I38" s="120"/>
      <c r="J38" s="12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한 플레이어가 퀘스트 완료 시 다른 플레이어가 퀘스트를 받을 수 있는지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38"/>
  <sheetViews>
    <sheetView zoomScale="130" zoomScaleNormal="130" workbookViewId="0">
      <selection activeCell="G44" sqref="G44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보상이 정상적으로 지급되는지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22" t="s">
        <v>126</v>
      </c>
      <c r="D38" s="120"/>
      <c r="E38" s="120"/>
      <c r="F38" s="120"/>
      <c r="G38" s="120"/>
      <c r="H38" s="120"/>
      <c r="I38" s="120"/>
      <c r="J38" s="12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수락 후 퀘스트 로그에 진행상황이 표시된다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타이머의 시간이 정상적으로 줄어드는지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타이머가 끝나면 게임이 종료되고 로비 화면으로 돌아간다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로비로 돌아간 후 다시 게임을 시작한다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NPC의 이름이 NPC 오브젝트 상단에 표시된다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모든 텍스트에서 한글 폰트가 정상적으로 나오는지
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62</vt:i4>
      </vt:variant>
      <vt:variant>
        <vt:lpstr>이름이 지정된 범위</vt:lpstr>
      </vt:variant>
      <vt:variant>
        <vt:i4>1</vt:i4>
      </vt:variant>
    </vt:vector>
  </HeadingPairs>
  <TitlesOfParts>
    <vt:vector size="6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SH109</cp:lastModifiedBy>
  <dcterms:created xsi:type="dcterms:W3CDTF">2025-09-15T15:28:01Z</dcterms:created>
  <dcterms:modified xsi:type="dcterms:W3CDTF">2025-12-03T01:34:10Z</dcterms:modified>
</cp:coreProperties>
</file>